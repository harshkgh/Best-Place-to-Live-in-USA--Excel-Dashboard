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5.xml" ContentType="application/vnd.ms-excel.controlproperties+xml"/>
  <Override PartName="/xl/tables/table6.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7.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7.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drawings/drawing8.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hidePivotFieldList="1" defaultThemeVersion="166925"/>
  <mc:AlternateContent xmlns:mc="http://schemas.openxmlformats.org/markup-compatibility/2006">
    <mc:Choice Requires="x15">
      <x15ac:absPath xmlns:x15ac="http://schemas.microsoft.com/office/spreadsheetml/2010/11/ac" url="C:\Users\hpanchal\OneDrive - University of Massachusetts\UMASS Fall 2024\601 Data Mangement\Group Project\"/>
    </mc:Choice>
  </mc:AlternateContent>
  <xr:revisionPtr revIDLastSave="0" documentId="13_ncr:1_{630785D9-04D4-4B40-B520-D753FAA5224A}" xr6:coauthVersionLast="47" xr6:coauthVersionMax="47" xr10:uidLastSave="{00000000-0000-0000-0000-000000000000}"/>
  <bookViews>
    <workbookView xWindow="21930" yWindow="-1815" windowWidth="29040" windowHeight="15720" tabRatio="658" xr2:uid="{F06ACB24-7C00-4564-90DA-A3E0C30DE7AE}"/>
  </bookViews>
  <sheets>
    <sheet name="Introduction" sheetId="1" r:id="rId1"/>
    <sheet name="Abbreviations" sheetId="13" r:id="rId2"/>
    <sheet name="College Statistics" sheetId="2" r:id="rId3"/>
    <sheet name="Healthcare" sheetId="11" r:id="rId4"/>
    <sheet name="Crime Index" sheetId="3" r:id="rId5"/>
    <sheet name="Weather Report" sheetId="6" r:id="rId6"/>
    <sheet name="Unemployment Rates" sheetId="10" r:id="rId7"/>
    <sheet name="Master Data" sheetId="7" r:id="rId8"/>
    <sheet name="Pivot Tables" sheetId="16" r:id="rId9"/>
    <sheet name="Dashboard" sheetId="18" r:id="rId10"/>
    <sheet name="Finder" sheetId="19" r:id="rId11"/>
    <sheet name="Sources" sheetId="12" r:id="rId12"/>
    <sheet name="Helper" sheetId="21" state="hidden" r:id="rId13"/>
    <sheet name="Helper_1" sheetId="20" state="hidden" r:id="rId14"/>
  </sheets>
  <definedNames>
    <definedName name="_xlchart.v5.0" hidden="1">'Master Data'!$A$57</definedName>
    <definedName name="_xlchart.v5.1" hidden="1">'Master Data'!$A$58:$A$107</definedName>
    <definedName name="_xlchart.v5.2" hidden="1">'Master Data'!$B$57</definedName>
    <definedName name="_xlchart.v5.3" hidden="1">'Master Data'!$B$58:$B$107</definedName>
    <definedName name="_xlcn.WorksheetConnection_Group10Dashboard.xlsmTable51" hidden="1">Crime_Index[]</definedName>
    <definedName name="Academics">Helper_1!$B$3:$B$4</definedName>
    <definedName name="Category">Helper_1!$A$2:$A$3</definedName>
    <definedName name="ExternalData_1" localSheetId="5" hidden="1">'Weather Report'!$A$1:$F$51</definedName>
    <definedName name="Family">Helper_1!$C$3:$C$5</definedName>
    <definedName name="Slicer_Region">#N/A</definedName>
    <definedName name="Slicer_State">#N/A</definedName>
  </definedNames>
  <calcPr calcId="191029" calcMode="manual"/>
  <pivotCaches>
    <pivotCache cacheId="0" r:id="rId15"/>
  </pivotCaches>
  <extLst>
    <ext xmlns:x14="http://schemas.microsoft.com/office/spreadsheetml/2009/9/main" uri="{BBE1A952-AA13-448e-AADC-164F8A28A991}">
      <x14:slicerCaches>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5" name="Table5" connection="WorksheetConnection_Group 10 Dashboard.xlsm!Table5"/>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C04C8E-C70E-42E6-A3CE-9457F0D750A9}" keepAlive="1" name="Query - average-temperatures-by-state-2024" description="Connection to the 'average-temperatures-by-state-2024' query in the workbook." type="5" refreshedVersion="8" background="1" saveData="1">
    <dbPr connection="Provider=Microsoft.Mashup.OleDb.1;Data Source=$Workbook$;Location=average-temperatures-by-state-2024;Extended Properties=&quot;&quot;" command="SELECT * FROM [average-temperatures-by-state-2024]"/>
  </connection>
  <connection id="2" xr16:uid="{0A70737E-30CA-BD4E-B3BD-52B2A136BE6C}" keepAlive="1" name="Query - average-temperatures-by-state-2024 (2)" description="Connection to the 'average-temperatures-by-state-2024 (2)' query in the workbook." type="5" refreshedVersion="0" background="1" saveData="1">
    <dbPr connection="Provider=Microsoft.Mashup.OleDb.1;Data Source=$Workbook$;Location=&quot;average-temperatures-by-state-2024 (2)&quot;;Extended Properties=&quot;&quot;" command="SELECT * FROM [average-temperatures-by-state-2024 (2)]"/>
  </connection>
  <connection id="3" xr16:uid="{4FA65051-BB08-EE49-8E09-8B44B3864739}" keepAlive="1" name="Query - average-temperatures-by-state-2024 (3)" description="Connection to the 'average-temperatures-by-state-2024 (3)' query in the workbook." type="5" refreshedVersion="0" background="1" saveData="1">
    <dbPr connection="Provider=Microsoft.Mashup.OleDb.1;Data Source=$Workbook$;Location=&quot;average-temperatures-by-state-2024 (3)&quot;;Extended Properties=&quot;&quot;" command="SELECT * FROM [average-temperatures-by-state-2024 (3)]"/>
  </connection>
  <connection id="4" xr16:uid="{3D2D50D0-5747-47D6-BCB4-BD4D8E7F76EF}" keepAlive="1" name="Query - Master_Data" description="Connection to the 'Master_Data' query in the workbook." type="5" refreshedVersion="0" background="1" saveData="1">
    <dbPr connection="Provider=Microsoft.Mashup.OleDb.1;Data Source=$Workbook$;Location=Master_Data;Extended Properties=&quot;&quot;" command="SELECT * FROM [Master_Data]"/>
  </connection>
  <connection id="5" xr16:uid="{FBBA926C-A71E-439D-BA6B-62059BC8202D}" keepAlive="1" name="Query - Table5" description="Connection to the 'Table5' query in the workbook." type="5" refreshedVersion="0" background="1" saveData="1">
    <dbPr connection="Provider=Microsoft.Mashup.OleDb.1;Data Source=$Workbook$;Location=Table5;Extended Properties=&quot;&quot;" command="SELECT * FROM [Table5]"/>
  </connection>
  <connection id="6" xr16:uid="{4AE5684B-8E9D-41E7-880A-B2A827200D0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 xr16:uid="{C6EC0CB0-6283-4D43-95F6-2FD01BC97BD3}" name="WorksheetConnection_Group 10 Dashboard.xlsm!Table5" type="102" refreshedVersion="8" minRefreshableVersion="5">
    <extLst>
      <ext xmlns:x15="http://schemas.microsoft.com/office/spreadsheetml/2010/11/main" uri="{DE250136-89BD-433C-8126-D09CA5730AF9}">
        <x15:connection id="Table5">
          <x15:rangePr sourceName="_xlcn.WorksheetConnection_Group10Dashboard.xlsmTable51"/>
        </x15:connection>
      </ext>
    </extLst>
  </connection>
</connections>
</file>

<file path=xl/sharedStrings.xml><?xml version="1.0" encoding="utf-8"?>
<sst xmlns="http://schemas.openxmlformats.org/spreadsheetml/2006/main" count="1519" uniqueCount="353">
  <si>
    <t>Group 10</t>
  </si>
  <si>
    <t>1. Abhijeet Shyamkumar Ghubade</t>
  </si>
  <si>
    <t>2. Eli Matz</t>
  </si>
  <si>
    <t>3. Harsh Panchal</t>
  </si>
  <si>
    <t>4. Sahil Shamim</t>
  </si>
  <si>
    <t>5. Nikhil Tangella</t>
  </si>
  <si>
    <t>Abbreviation</t>
  </si>
  <si>
    <t>State</t>
  </si>
  <si>
    <t>US</t>
  </si>
  <si>
    <t>United States</t>
  </si>
  <si>
    <t>AL</t>
  </si>
  <si>
    <t>Alabama</t>
  </si>
  <si>
    <t>AK</t>
  </si>
  <si>
    <t>Alaska</t>
  </si>
  <si>
    <t>AZ</t>
  </si>
  <si>
    <t>Arizona</t>
  </si>
  <si>
    <t>AR</t>
  </si>
  <si>
    <t>Arkansas</t>
  </si>
  <si>
    <t>CA</t>
  </si>
  <si>
    <t>California</t>
  </si>
  <si>
    <t>CO</t>
  </si>
  <si>
    <t>Colorado</t>
  </si>
  <si>
    <t>CT</t>
  </si>
  <si>
    <t>Connecticut</t>
  </si>
  <si>
    <t>DE</t>
  </si>
  <si>
    <t>Delaware</t>
  </si>
  <si>
    <t>FL</t>
  </si>
  <si>
    <t>Florida</t>
  </si>
  <si>
    <t>GA</t>
  </si>
  <si>
    <t>Georgia</t>
  </si>
  <si>
    <t>HI</t>
  </si>
  <si>
    <t>Hawaii</t>
  </si>
  <si>
    <t>ID</t>
  </si>
  <si>
    <t>Idaho</t>
  </si>
  <si>
    <t>IL</t>
  </si>
  <si>
    <t>Illinois</t>
  </si>
  <si>
    <t>IN</t>
  </si>
  <si>
    <t>Indiana</t>
  </si>
  <si>
    <t>IA</t>
  </si>
  <si>
    <t>Iowa</t>
  </si>
  <si>
    <t>KS</t>
  </si>
  <si>
    <t>Kansas</t>
  </si>
  <si>
    <t>KY</t>
  </si>
  <si>
    <t>Kentucky</t>
  </si>
  <si>
    <t>LA</t>
  </si>
  <si>
    <t>Louisiana</t>
  </si>
  <si>
    <t>ME</t>
  </si>
  <si>
    <t>Maine</t>
  </si>
  <si>
    <t>MD</t>
  </si>
  <si>
    <t>Maryland</t>
  </si>
  <si>
    <t>MA</t>
  </si>
  <si>
    <t>Massachusetts</t>
  </si>
  <si>
    <t>MI</t>
  </si>
  <si>
    <t>Michigan</t>
  </si>
  <si>
    <t>MN</t>
  </si>
  <si>
    <t>Minnesota</t>
  </si>
  <si>
    <t>MS</t>
  </si>
  <si>
    <t>Mississippi</t>
  </si>
  <si>
    <t>MO</t>
  </si>
  <si>
    <t>Missouri</t>
  </si>
  <si>
    <t>MT</t>
  </si>
  <si>
    <t>Montana</t>
  </si>
  <si>
    <t>NE</t>
  </si>
  <si>
    <t>Nebraska</t>
  </si>
  <si>
    <t>NV</t>
  </si>
  <si>
    <t>Nevada</t>
  </si>
  <si>
    <t>NH</t>
  </si>
  <si>
    <t>New Hampshire</t>
  </si>
  <si>
    <t>NJ</t>
  </si>
  <si>
    <t>New Jersey</t>
  </si>
  <si>
    <t>NM</t>
  </si>
  <si>
    <t>New Mexico</t>
  </si>
  <si>
    <t>NY</t>
  </si>
  <si>
    <t>New York</t>
  </si>
  <si>
    <t>NC</t>
  </si>
  <si>
    <t>North Carolina</t>
  </si>
  <si>
    <t>ND</t>
  </si>
  <si>
    <t>North Dakota</t>
  </si>
  <si>
    <t>OH</t>
  </si>
  <si>
    <t>Ohio</t>
  </si>
  <si>
    <t>OK</t>
  </si>
  <si>
    <t>Oklahoma</t>
  </si>
  <si>
    <t>OR</t>
  </si>
  <si>
    <t>Oregon</t>
  </si>
  <si>
    <t>PA</t>
  </si>
  <si>
    <t>Pennsylvania</t>
  </si>
  <si>
    <t>RI</t>
  </si>
  <si>
    <t>Rhode Island</t>
  </si>
  <si>
    <t>SC</t>
  </si>
  <si>
    <t>South Carolina</t>
  </si>
  <si>
    <t>SD</t>
  </si>
  <si>
    <t>South Dakota</t>
  </si>
  <si>
    <t>TN</t>
  </si>
  <si>
    <t>Tennessee</t>
  </si>
  <si>
    <t>TX</t>
  </si>
  <si>
    <t>Texas</t>
  </si>
  <si>
    <t>UT</t>
  </si>
  <si>
    <t>Utah</t>
  </si>
  <si>
    <t>VT</t>
  </si>
  <si>
    <t>Vermont</t>
  </si>
  <si>
    <t>VA</t>
  </si>
  <si>
    <t>Virginia</t>
  </si>
  <si>
    <t>WA</t>
  </si>
  <si>
    <t>Washington</t>
  </si>
  <si>
    <t>WV</t>
  </si>
  <si>
    <t>West Virginia</t>
  </si>
  <si>
    <t>WI</t>
  </si>
  <si>
    <t>Wisconsin</t>
  </si>
  <si>
    <t>WY</t>
  </si>
  <si>
    <t>Wyoming</t>
  </si>
  <si>
    <t>State Code</t>
  </si>
  <si>
    <t>Number of Universities (Public/Private)</t>
  </si>
  <si>
    <t>Acceptance Rate</t>
  </si>
  <si>
    <t>SAT Score</t>
  </si>
  <si>
    <t>Average Tuition (For Residents)</t>
  </si>
  <si>
    <t>Student Population</t>
  </si>
  <si>
    <t>Graduation Rate</t>
  </si>
  <si>
    <t>Student to Faculty Ratio</t>
  </si>
  <si>
    <t>10 (5/5)</t>
  </si>
  <si>
    <t>$17,119 ($11,609)</t>
  </si>
  <si>
    <t>10.67 to 1</t>
  </si>
  <si>
    <t>76 (38/38)</t>
  </si>
  <si>
    <t>$15,526 ($10,869)</t>
  </si>
  <si>
    <t>15.57 to 1</t>
  </si>
  <si>
    <t>78 (35/43)</t>
  </si>
  <si>
    <t>$12,635 ($9,429)</t>
  </si>
  <si>
    <t>14.08 to 1</t>
  </si>
  <si>
    <t>102 (28/74)</t>
  </si>
  <si>
    <t>$19,095 ($8,546)</t>
  </si>
  <si>
    <t>21.52 to 1</t>
  </si>
  <si>
    <t>619 (166/453)</t>
  </si>
  <si>
    <t>$23,838 ($14,295)</t>
  </si>
  <si>
    <t>18.16 to 1</t>
  </si>
  <si>
    <t>82 (31/51)</t>
  </si>
  <si>
    <t>$21,353 ($12,314)</t>
  </si>
  <si>
    <t>17.47 to 1</t>
  </si>
  <si>
    <t>53 (14/39)</t>
  </si>
  <si>
    <t>$35,223 ($26,235)</t>
  </si>
  <si>
    <t>13.60 to 1</t>
  </si>
  <si>
    <t>15 (4/11)</t>
  </si>
  <si>
    <t>$20,253 ($15,102)</t>
  </si>
  <si>
    <t>18.29 to 1</t>
  </si>
  <si>
    <t>323 (89/234)</t>
  </si>
  <si>
    <t>$19,282 ($12,855)</t>
  </si>
  <si>
    <t>16.15 to 1</t>
  </si>
  <si>
    <t>135 (51/84)</t>
  </si>
  <si>
    <t>$17,752 ($12,282)</t>
  </si>
  <si>
    <t>15.70 to 1</t>
  </si>
  <si>
    <t>22 (10/12)</t>
  </si>
  <si>
    <t>$15,223 ($9,143)</t>
  </si>
  <si>
    <t>14.65 to 1</t>
  </si>
  <si>
    <t>75 (19/56)</t>
  </si>
  <si>
    <t>$23,163 ($19,774)</t>
  </si>
  <si>
    <t>12.94 to 1</t>
  </si>
  <si>
    <t>32 (8/24)</t>
  </si>
  <si>
    <t>$19,089 ($10,607)</t>
  </si>
  <si>
    <t>15.59 to 1</t>
  </si>
  <si>
    <t>229 (61/168)</t>
  </si>
  <si>
    <t>$23,083 ($19,514)</t>
  </si>
  <si>
    <t>14.30 to 1</t>
  </si>
  <si>
    <t>103 (16/87)</t>
  </si>
  <si>
    <t>$27,502 ($21,764)</t>
  </si>
  <si>
    <t>12.92 to 1</t>
  </si>
  <si>
    <t>73 (34/39)</t>
  </si>
  <si>
    <t>$16,791 ($12,791)</t>
  </si>
  <si>
    <t>13.58 to 1</t>
  </si>
  <si>
    <t>85 (24/61)</t>
  </si>
  <si>
    <t>$19,238 ($14,828)</t>
  </si>
  <si>
    <t>14.84 to 1</t>
  </si>
  <si>
    <t>107 (30/77)</t>
  </si>
  <si>
    <t>$16,834 ($11,708)</t>
  </si>
  <si>
    <t>17.93 to 1</t>
  </si>
  <si>
    <t>140 (42/98)</t>
  </si>
  <si>
    <t>$37,093 ($28,671)</t>
  </si>
  <si>
    <t>11.46 to 1</t>
  </si>
  <si>
    <t>73 (29/44)</t>
  </si>
  <si>
    <t>$24,296 ($18,023)</t>
  </si>
  <si>
    <t>13.46 to 1</t>
  </si>
  <si>
    <t>33 (14/19)</t>
  </si>
  <si>
    <t>$28,095 ($19,755)</t>
  </si>
  <si>
    <t>13.93 to 1</t>
  </si>
  <si>
    <t>155 (47/108)</t>
  </si>
  <si>
    <t>$21,533 ($16,648)</t>
  </si>
  <si>
    <t>14.55 to 1</t>
  </si>
  <si>
    <t>89 (40/49)</t>
  </si>
  <si>
    <t>$19,543 ($16,871)</t>
  </si>
  <si>
    <t>15.31 to 1</t>
  </si>
  <si>
    <t>137 (42/95)</t>
  </si>
  <si>
    <t>$19,624 ($16,470)</t>
  </si>
  <si>
    <t>50 (23/27)</t>
  </si>
  <si>
    <t>$11,734 ($8,497)</t>
  </si>
  <si>
    <t>17.32 to 1</t>
  </si>
  <si>
    <t>28 (18/10)</t>
  </si>
  <si>
    <t>$15,622 ($8,406)</t>
  </si>
  <si>
    <t>13.39 to 1</t>
  </si>
  <si>
    <t>161 (75/86)</t>
  </si>
  <si>
    <t>$18,517 ($12,015)</t>
  </si>
  <si>
    <t>12.67 to 1</t>
  </si>
  <si>
    <t>25 (14/11)</t>
  </si>
  <si>
    <t>$10,726 ($8,451)</t>
  </si>
  <si>
    <t>12.50 to 1</t>
  </si>
  <si>
    <t>39 (16/23)</t>
  </si>
  <si>
    <t>$17,995 ($13,792)</t>
  </si>
  <si>
    <t>12.54 to 1</t>
  </si>
  <si>
    <t>32 (13/19)</t>
  </si>
  <si>
    <t>$26,158 ($20,240)</t>
  </si>
  <si>
    <t>10.82 to 1</t>
  </si>
  <si>
    <t>145 (38/107)</t>
  </si>
  <si>
    <t>$20,544 ($17,574)</t>
  </si>
  <si>
    <t>15.83 to 1</t>
  </si>
  <si>
    <t>42 (28/14)</t>
  </si>
  <si>
    <t>$13,768 ($5,785)</t>
  </si>
  <si>
    <t>15.76 to 1</t>
  </si>
  <si>
    <t>37 (7/30)</t>
  </si>
  <si>
    <t>$21,095 ($14,218)</t>
  </si>
  <si>
    <t>17.60 to 1</t>
  </si>
  <si>
    <t>396 (107/289)</t>
  </si>
  <si>
    <t>$24,098 ($19,065)</t>
  </si>
  <si>
    <t>14.22 to 1</t>
  </si>
  <si>
    <t>273 (108/165)</t>
  </si>
  <si>
    <t>$21,770 ($16,971)</t>
  </si>
  <si>
    <t>14.50 to 1</t>
  </si>
  <si>
    <t>96 (58/38)</t>
  </si>
  <si>
    <t>$15,427 ($10,027)</t>
  </si>
  <si>
    <t>15.54 to 1</t>
  </si>
  <si>
    <t>72 (26/46)</t>
  </si>
  <si>
    <t>$22,661 ($17,040)</t>
  </si>
  <si>
    <t>307 (85/222)</t>
  </si>
  <si>
    <t>$28,996 ($23,723)</t>
  </si>
  <si>
    <t>12.07 to 1</t>
  </si>
  <si>
    <t>21 (3/18)</t>
  </si>
  <si>
    <t>$37,959 ($30,846)</t>
  </si>
  <si>
    <t>11.93 to 1</t>
  </si>
  <si>
    <t>88 (34/54)</t>
  </si>
  <si>
    <t>$21,069 ($14,493)</t>
  </si>
  <si>
    <t>14.52 to 1</t>
  </si>
  <si>
    <t>26 (13/13)</t>
  </si>
  <si>
    <t>$12,584 ($11,908)</t>
  </si>
  <si>
    <t>12.36 to 1</t>
  </si>
  <si>
    <t>139 (47/92)</t>
  </si>
  <si>
    <t>$18,161 ($13,156)</t>
  </si>
  <si>
    <t>16.46 to 1</t>
  </si>
  <si>
    <t>385 (102/283)</t>
  </si>
  <si>
    <t>$19,205 ($12,655)</t>
  </si>
  <si>
    <t>17.34 to 1</t>
  </si>
  <si>
    <t>59 (16/43)</t>
  </si>
  <si>
    <t>$23,278 ($10,860)</t>
  </si>
  <si>
    <t>21.25 to 1</t>
  </si>
  <si>
    <t>136 (44/92)</t>
  </si>
  <si>
    <t>$22,173 ($16,482)</t>
  </si>
  <si>
    <t>14.77 to 1</t>
  </si>
  <si>
    <t>16 (3/13)</t>
  </si>
  <si>
    <t>$41,456 ($33,849)</t>
  </si>
  <si>
    <t>11.08 to 1</t>
  </si>
  <si>
    <t>96 (42/54)</t>
  </si>
  <si>
    <t>$20,152 ($14,217)</t>
  </si>
  <si>
    <t>14.63 to 1</t>
  </si>
  <si>
    <t>85 (32/53)</t>
  </si>
  <si>
    <t>$23,078 ($16,263)</t>
  </si>
  <si>
    <t>12.97 to 1</t>
  </si>
  <si>
    <t>67 (39/28)</t>
  </si>
  <si>
    <t>$15,133 ($10,773)</t>
  </si>
  <si>
    <t>14.96 to 1</t>
  </si>
  <si>
    <t>10 (8/2)</t>
  </si>
  <si>
    <t>$14,508 ($4,868)</t>
  </si>
  <si>
    <t>14.67 to 1</t>
  </si>
  <si>
    <t>Total Healthcare Spending (millions)</t>
  </si>
  <si>
    <t>States</t>
  </si>
  <si>
    <t>2020 Population</t>
  </si>
  <si>
    <t>Crime Reported</t>
  </si>
  <si>
    <t>Crime Rate Per 100k</t>
  </si>
  <si>
    <t>Violent Crimes</t>
  </si>
  <si>
    <t>Violent Crime Rate</t>
  </si>
  <si>
    <t>Non-Violent Crimes</t>
  </si>
  <si>
    <t>Non-Violent Crime Rate</t>
  </si>
  <si>
    <t>Average Temperature (F)</t>
  </si>
  <si>
    <t>Average Annual Precipitation (inches)</t>
  </si>
  <si>
    <t>Average High Temperature (F)</t>
  </si>
  <si>
    <t>Average Low Temperature (C)</t>
  </si>
  <si>
    <t>2022 Unemployment Rate</t>
  </si>
  <si>
    <t>2023 Unemployment Rate</t>
  </si>
  <si>
    <t>State Abbreviations</t>
  </si>
  <si>
    <t>Region</t>
  </si>
  <si>
    <t>College Acceptance Rate</t>
  </si>
  <si>
    <t>Total Healthcare Spending (in millions)</t>
  </si>
  <si>
    <t>Crime Rate Per 100K</t>
  </si>
  <si>
    <t>Average Low Temperature (F)</t>
  </si>
  <si>
    <t>South</t>
  </si>
  <si>
    <t>West</t>
  </si>
  <si>
    <t>Northeast</t>
  </si>
  <si>
    <t>Midwest</t>
  </si>
  <si>
    <t>Row Labels</t>
  </si>
  <si>
    <t>Sum of College Acceptance Rate</t>
  </si>
  <si>
    <t>Sum of Graduation Rate</t>
  </si>
  <si>
    <t>Sum of Total Healthcare Spending (in millions)</t>
  </si>
  <si>
    <t>Sum of Crime Rate Per 100K</t>
  </si>
  <si>
    <t>Average of 2023 Unemployment Rate</t>
  </si>
  <si>
    <t>Grand Total</t>
  </si>
  <si>
    <t xml:space="preserve">  </t>
  </si>
  <si>
    <t>Category</t>
  </si>
  <si>
    <t>Academics</t>
  </si>
  <si>
    <t>Priority</t>
  </si>
  <si>
    <t>Rank</t>
  </si>
  <si>
    <t>Family</t>
  </si>
  <si>
    <t>College_Fees</t>
  </si>
  <si>
    <t>Healthcare</t>
  </si>
  <si>
    <t>Acceptance_Rate</t>
  </si>
  <si>
    <t>Safety</t>
  </si>
  <si>
    <t xml:space="preserve">Number_of_Universities </t>
  </si>
  <si>
    <t>Website Name</t>
  </si>
  <si>
    <t>Website URL</t>
  </si>
  <si>
    <t>Type of Data</t>
  </si>
  <si>
    <t>UnivStats</t>
  </si>
  <si>
    <t xml:space="preserve">https://www.univstats.com/states/ </t>
  </si>
  <si>
    <t>College Statistics</t>
  </si>
  <si>
    <t>KFF</t>
  </si>
  <si>
    <t>health-care-expenditures-by-state-of-residence-in-millions</t>
  </si>
  <si>
    <t>World Population Review</t>
  </si>
  <si>
    <t>Crime Rate by State 2024 (worldpopulationreview.com)</t>
  </si>
  <si>
    <t>Crime Index</t>
  </si>
  <si>
    <t>https://worldpopulationreview.com/state-rankings/average-temperatures-by-state</t>
  </si>
  <si>
    <t>Weather Report</t>
  </si>
  <si>
    <t>USDA</t>
  </si>
  <si>
    <t xml:space="preserve">https://www.ers.usda.gov/data-products/county-level-data-sets/county-level-data-sets-download-data/ </t>
  </si>
  <si>
    <t>Unemployment Rates</t>
  </si>
  <si>
    <t>Safety_Table</t>
  </si>
  <si>
    <t xml:space="preserve">Number of Universities </t>
  </si>
  <si>
    <t>Fees</t>
  </si>
  <si>
    <t>Crimes</t>
  </si>
  <si>
    <t>Healthcare_Table</t>
  </si>
  <si>
    <t xml:space="preserve">State </t>
  </si>
  <si>
    <t>Total Healthcare Spending</t>
  </si>
  <si>
    <t>Tuition Fees</t>
  </si>
  <si>
    <t>Number_of_Universities_Table</t>
  </si>
  <si>
    <t>Acceptance_Rate_Table</t>
  </si>
  <si>
    <t>College_Fees_Table</t>
  </si>
  <si>
    <t>Pivot Tables</t>
  </si>
  <si>
    <t>Average of 2022 Unemployment Rate</t>
  </si>
  <si>
    <t>Low Temperature (F)</t>
  </si>
  <si>
    <t>High Temperature (F)</t>
  </si>
  <si>
    <t>Unemployment Rate</t>
  </si>
  <si>
    <t>Temperature</t>
  </si>
  <si>
    <t>Best Places to live in the U.S.</t>
  </si>
  <si>
    <t>Highest Acceptance and Graduation Rate are marked in Green.</t>
  </si>
  <si>
    <t>Lowest Acceptance and Graduation Rate are marked in Red.</t>
  </si>
  <si>
    <t>Highest Healthcare spending marked in Red.</t>
  </si>
  <si>
    <t>Lowest Healthcare spending marked in Green.</t>
  </si>
  <si>
    <t>Highest Crime Rate marked in Red.</t>
  </si>
  <si>
    <t>Lowest Crime Rate marked in Green.</t>
  </si>
  <si>
    <t>Highest Unemployment marked in Red.</t>
  </si>
  <si>
    <t>Lowest Unemployment marked in Green.</t>
  </si>
  <si>
    <t>Hottest 3 states by Temperature marked by Red.</t>
  </si>
  <si>
    <t>Coldest 3 states by Temperature marked by Blue.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</si>
</sst>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6" formatCode="&quot;$&quot;#,##0_);[Red]\(&quot;$&quot;#,##0\)"/>
    <numFmt numFmtId="8" formatCode="&quot;$&quot;#,##0.00_);[Red]\(&quot;$&quot;#,##0.00\)"/>
    <numFmt numFmtId="43" formatCode="_(* #,##0.00_);_(* \(#,##0.00\);_(* &quot;-&quot;??_);_(@_)"/>
    <numFmt numFmtId="164" formatCode="0.0%"/>
  </numFmts>
  <fonts count="32" x14ac:knownFonts="1">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u/>
      <sz val="11"/>
      <color theme="10"/>
      <name val="Calibri"/>
      <family val="2"/>
      <scheme val="minor"/>
    </font>
    <font>
      <sz val="12"/>
      <color theme="1"/>
      <name val="Times New Roman"/>
      <family val="1"/>
    </font>
    <font>
      <b/>
      <sz val="12"/>
      <color theme="1"/>
      <name val="Times New Roman"/>
      <family val="1"/>
    </font>
    <font>
      <b/>
      <sz val="11"/>
      <color theme="1"/>
      <name val="Calibri"/>
      <family val="2"/>
      <scheme val="minor"/>
    </font>
    <font>
      <sz val="8"/>
      <name val="Calibri"/>
      <family val="2"/>
      <scheme val="minor"/>
    </font>
    <font>
      <sz val="12"/>
      <color rgb="FF000000"/>
      <name val="Times New Roman"/>
      <family val="1"/>
    </font>
    <font>
      <sz val="11"/>
      <color theme="1"/>
      <name val="Calibri"/>
      <family val="2"/>
      <scheme val="minor"/>
    </font>
    <font>
      <b/>
      <sz val="12"/>
      <color theme="0"/>
      <name val="Times New Roman"/>
      <family val="1"/>
    </font>
    <font>
      <sz val="11"/>
      <color rgb="FF006100"/>
      <name val="Calibri"/>
      <family val="2"/>
      <scheme val="minor"/>
    </font>
    <font>
      <sz val="11"/>
      <color rgb="FF9C5700"/>
      <name val="Calibri"/>
      <family val="2"/>
      <scheme val="minor"/>
    </font>
    <font>
      <sz val="11"/>
      <color rgb="FF000000"/>
      <name val="Calibri"/>
      <family val="2"/>
    </font>
    <font>
      <b/>
      <sz val="11"/>
      <color rgb="FFFFFFFF"/>
      <name val="Calibri"/>
      <family val="2"/>
    </font>
    <font>
      <sz val="16"/>
      <color theme="1"/>
      <name val="Calibri"/>
      <family val="2"/>
      <scheme val="minor"/>
    </font>
    <font>
      <sz val="22"/>
      <color theme="1"/>
      <name val="Calibri"/>
      <family val="2"/>
      <scheme val="minor"/>
    </font>
    <font>
      <sz val="22"/>
      <color rgb="FF006100"/>
      <name val="Calibri"/>
      <family val="2"/>
      <scheme val="minor"/>
    </font>
    <font>
      <sz val="22"/>
      <color rgb="FF9C5700"/>
      <name val="Calibri"/>
      <family val="2"/>
      <scheme val="minor"/>
    </font>
    <font>
      <b/>
      <sz val="11"/>
      <color rgb="FFFA7D00"/>
      <name val="Calibri"/>
      <family val="2"/>
      <scheme val="minor"/>
    </font>
    <font>
      <b/>
      <sz val="16"/>
      <color theme="4"/>
      <name val="Calibri"/>
      <family val="2"/>
      <scheme val="minor"/>
    </font>
    <font>
      <sz val="14"/>
      <color theme="1"/>
      <name val="Calibri"/>
      <family val="2"/>
      <scheme val="minor"/>
    </font>
    <font>
      <b/>
      <sz val="22"/>
      <color rgb="FFFA7D00"/>
      <name val="Calibri"/>
      <family val="2"/>
      <scheme val="minor"/>
    </font>
    <font>
      <b/>
      <sz val="14"/>
      <color theme="1"/>
      <name val="Times New Roman"/>
      <family val="1"/>
    </font>
    <font>
      <sz val="14"/>
      <color theme="1"/>
      <name val="Times New Roman"/>
      <family val="1"/>
    </font>
    <font>
      <b/>
      <sz val="18"/>
      <color rgb="FF000000"/>
      <name val="Calibri"/>
      <family val="2"/>
    </font>
    <font>
      <b/>
      <sz val="20"/>
      <color rgb="FF000000"/>
      <name val="Calibri"/>
      <family val="2"/>
    </font>
    <font>
      <b/>
      <sz val="11"/>
      <color theme="4" tint="-0.249977111117893"/>
      <name val="Arial"/>
      <family val="2"/>
    </font>
    <font>
      <b/>
      <sz val="18"/>
      <color theme="3"/>
      <name val="Calibri"/>
      <family val="2"/>
      <scheme val="minor"/>
    </font>
    <font>
      <sz val="18"/>
      <color theme="1"/>
      <name val="Calibri"/>
      <family val="2"/>
      <scheme val="minor"/>
    </font>
    <font>
      <sz val="20"/>
      <color theme="1"/>
      <name val="Calibri"/>
      <family val="2"/>
      <scheme val="minor"/>
    </font>
  </fonts>
  <fills count="12">
    <fill>
      <patternFill patternType="none"/>
    </fill>
    <fill>
      <patternFill patternType="gray125"/>
    </fill>
    <fill>
      <patternFill patternType="solid">
        <fgColor theme="2" tint="-9.9978637043366805E-2"/>
        <bgColor indexed="64"/>
      </patternFill>
    </fill>
    <fill>
      <patternFill patternType="solid">
        <fgColor theme="2"/>
        <bgColor indexed="64"/>
      </patternFill>
    </fill>
    <fill>
      <patternFill patternType="solid">
        <fgColor rgb="FFC6EFCE"/>
      </patternFill>
    </fill>
    <fill>
      <patternFill patternType="solid">
        <fgColor rgb="FFFFEB9C"/>
      </patternFill>
    </fill>
    <fill>
      <patternFill patternType="solid">
        <fgColor rgb="FF4472C4"/>
        <bgColor rgb="FF4472C4"/>
      </patternFill>
    </fill>
    <fill>
      <patternFill patternType="solid">
        <fgColor rgb="FFD9E1F2"/>
        <bgColor rgb="FFD9E1F2"/>
      </patternFill>
    </fill>
    <fill>
      <patternFill patternType="solid">
        <fgColor theme="4"/>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rgb="FFF2F2F2"/>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0"/>
      </left>
      <right/>
      <top/>
      <bottom style="thick">
        <color theme="4" tint="0.499984740745262"/>
      </bottom>
      <diagonal/>
    </border>
    <border>
      <left/>
      <right style="thin">
        <color theme="0"/>
      </right>
      <top/>
      <bottom/>
      <diagonal/>
    </border>
    <border>
      <left style="thin">
        <color theme="0"/>
      </left>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top style="thin">
        <color rgb="FF8EA9DB"/>
      </top>
      <bottom style="thin">
        <color rgb="FF8EA9DB"/>
      </bottom>
      <diagonal/>
    </border>
    <border>
      <left/>
      <right/>
      <top/>
      <bottom style="thin">
        <color rgb="FF8EA9DB"/>
      </bottom>
      <diagonal/>
    </border>
    <border>
      <left/>
      <right/>
      <top style="thin">
        <color rgb="FF8EA9DB"/>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rgb="FF7F7F7F"/>
      </left>
      <right style="thin">
        <color rgb="FF7F7F7F"/>
      </right>
      <top style="thin">
        <color rgb="FF7F7F7F"/>
      </top>
      <bottom style="thin">
        <color rgb="FF7F7F7F"/>
      </bottom>
      <diagonal/>
    </border>
  </borders>
  <cellStyleXfs count="10">
    <xf numFmtId="0" fontId="0" fillId="0" borderId="0"/>
    <xf numFmtId="0" fontId="1" fillId="0" borderId="0" applyNumberFormat="0" applyFill="0" applyBorder="0" applyAlignment="0" applyProtection="0"/>
    <xf numFmtId="0" fontId="2" fillId="0" borderId="1" applyNumberFormat="0" applyFill="0" applyAlignment="0" applyProtection="0"/>
    <xf numFmtId="0" fontId="3" fillId="0" borderId="2" applyNumberFormat="0" applyFill="0" applyAlignment="0" applyProtection="0"/>
    <xf numFmtId="0" fontId="4" fillId="0" borderId="0" applyNumberFormat="0" applyFill="0" applyBorder="0" applyAlignment="0" applyProtection="0"/>
    <xf numFmtId="43" fontId="10" fillId="0" borderId="0" applyFont="0" applyFill="0" applyBorder="0" applyAlignment="0" applyProtection="0"/>
    <xf numFmtId="9" fontId="10" fillId="0" borderId="0" applyFont="0" applyFill="0" applyBorder="0" applyAlignment="0" applyProtection="0"/>
    <xf numFmtId="0" fontId="12" fillId="4" borderId="0" applyNumberFormat="0" applyBorder="0" applyAlignment="0" applyProtection="0"/>
    <xf numFmtId="0" fontId="13" fillId="5" borderId="0" applyNumberFormat="0" applyBorder="0" applyAlignment="0" applyProtection="0"/>
    <xf numFmtId="0" fontId="20" fillId="11" borderId="16" applyNumberFormat="0" applyAlignment="0" applyProtection="0"/>
  </cellStyleXfs>
  <cellXfs count="73">
    <xf numFmtId="0" fontId="0" fillId="0" borderId="0" xfId="0"/>
    <xf numFmtId="0" fontId="4" fillId="0" borderId="0" xfId="4"/>
    <xf numFmtId="0" fontId="5" fillId="0" borderId="0" xfId="0" applyFont="1"/>
    <xf numFmtId="0" fontId="5" fillId="0" borderId="0" xfId="4" applyFont="1"/>
    <xf numFmtId="0" fontId="6" fillId="0" borderId="0" xfId="0" applyFont="1"/>
    <xf numFmtId="0" fontId="7" fillId="0" borderId="0" xfId="0" applyFont="1"/>
    <xf numFmtId="0" fontId="6" fillId="0" borderId="0" xfId="4" applyFont="1"/>
    <xf numFmtId="8" fontId="9" fillId="0" borderId="0" xfId="0" applyNumberFormat="1" applyFont="1"/>
    <xf numFmtId="0" fontId="9" fillId="0" borderId="0" xfId="0" applyFont="1"/>
    <xf numFmtId="0" fontId="5" fillId="0" borderId="0" xfId="0" applyFont="1" applyAlignment="1">
      <alignment horizontal="right"/>
    </xf>
    <xf numFmtId="10" fontId="5" fillId="0" borderId="0" xfId="0" applyNumberFormat="1" applyFont="1" applyAlignment="1">
      <alignment horizontal="right"/>
    </xf>
    <xf numFmtId="8" fontId="9" fillId="0" borderId="0" xfId="0" applyNumberFormat="1" applyFont="1" applyAlignment="1">
      <alignment horizontal="right"/>
    </xf>
    <xf numFmtId="0" fontId="6" fillId="0" borderId="0" xfId="0" applyFont="1" applyAlignment="1">
      <alignment horizontal="left"/>
    </xf>
    <xf numFmtId="0" fontId="5" fillId="0" borderId="0" xfId="0" applyFont="1" applyAlignment="1">
      <alignment horizontal="left"/>
    </xf>
    <xf numFmtId="0" fontId="0" fillId="0" borderId="0" xfId="0" applyAlignment="1">
      <alignment horizontal="left"/>
    </xf>
    <xf numFmtId="164" fontId="5" fillId="0" borderId="0" xfId="6" applyNumberFormat="1" applyFont="1"/>
    <xf numFmtId="0" fontId="11" fillId="0" borderId="0" xfId="0" applyFont="1"/>
    <xf numFmtId="0" fontId="0" fillId="0" borderId="0" xfId="0" pivotButton="1"/>
    <xf numFmtId="1" fontId="5" fillId="0" borderId="0" xfId="5" applyNumberFormat="1" applyFont="1"/>
    <xf numFmtId="1" fontId="5" fillId="0" borderId="3" xfId="0" applyNumberFormat="1" applyFont="1" applyBorder="1" applyAlignment="1">
      <alignment horizontal="right"/>
    </xf>
    <xf numFmtId="1" fontId="5" fillId="0" borderId="4" xfId="0" applyNumberFormat="1" applyFont="1" applyBorder="1" applyAlignment="1">
      <alignment horizontal="right"/>
    </xf>
    <xf numFmtId="1" fontId="5" fillId="0" borderId="0" xfId="0" applyNumberFormat="1" applyFont="1" applyAlignment="1">
      <alignment horizontal="right"/>
    </xf>
    <xf numFmtId="0" fontId="0" fillId="0" borderId="0" xfId="0" applyAlignment="1">
      <alignment horizontal="left" indent="1"/>
    </xf>
    <xf numFmtId="0" fontId="14" fillId="0" borderId="0" xfId="0" applyFont="1"/>
    <xf numFmtId="6" fontId="14" fillId="0" borderId="0" xfId="0" applyNumberFormat="1" applyFont="1"/>
    <xf numFmtId="10" fontId="14" fillId="0" borderId="0" xfId="0" applyNumberFormat="1" applyFont="1"/>
    <xf numFmtId="0" fontId="14" fillId="7" borderId="11" xfId="0" applyFont="1" applyFill="1" applyBorder="1"/>
    <xf numFmtId="0" fontId="14" fillId="0" borderId="11" xfId="0" applyFont="1" applyBorder="1"/>
    <xf numFmtId="0" fontId="15" fillId="6" borderId="12" xfId="0" applyFont="1" applyFill="1" applyBorder="1"/>
    <xf numFmtId="0" fontId="14" fillId="7" borderId="13" xfId="0" applyFont="1" applyFill="1" applyBorder="1"/>
    <xf numFmtId="0" fontId="0" fillId="0" borderId="0" xfId="0" applyNumberFormat="1"/>
    <xf numFmtId="10" fontId="14" fillId="7" borderId="11" xfId="0" applyNumberFormat="1" applyFont="1" applyFill="1" applyBorder="1"/>
    <xf numFmtId="10" fontId="14" fillId="0" borderId="11" xfId="0" applyNumberFormat="1" applyFont="1" applyBorder="1"/>
    <xf numFmtId="10" fontId="14" fillId="7" borderId="13" xfId="0" applyNumberFormat="1" applyFont="1" applyFill="1" applyBorder="1"/>
    <xf numFmtId="8" fontId="14" fillId="7" borderId="11" xfId="0" applyNumberFormat="1" applyFont="1" applyFill="1" applyBorder="1"/>
    <xf numFmtId="8" fontId="14" fillId="0" borderId="11" xfId="0" applyNumberFormat="1" applyFont="1" applyBorder="1"/>
    <xf numFmtId="8" fontId="14" fillId="7" borderId="13" xfId="0" applyNumberFormat="1" applyFont="1" applyFill="1" applyBorder="1"/>
    <xf numFmtId="0" fontId="0" fillId="8" borderId="0" xfId="0" applyFill="1"/>
    <xf numFmtId="0" fontId="11" fillId="10" borderId="14" xfId="0" applyFont="1" applyFill="1" applyBorder="1" applyAlignment="1">
      <alignment horizontal="left"/>
    </xf>
    <xf numFmtId="0" fontId="6" fillId="9" borderId="14" xfId="4" applyFont="1" applyFill="1" applyBorder="1"/>
    <xf numFmtId="0" fontId="6" fillId="0" borderId="14" xfId="4" applyFont="1" applyBorder="1"/>
    <xf numFmtId="0" fontId="11" fillId="10" borderId="15" xfId="0" applyFont="1" applyFill="1" applyBorder="1" applyAlignment="1">
      <alignment horizontal="left"/>
    </xf>
    <xf numFmtId="8" fontId="9" fillId="9" borderId="15" xfId="0" applyNumberFormat="1" applyFont="1" applyFill="1" applyBorder="1" applyAlignment="1">
      <alignment horizontal="right"/>
    </xf>
    <xf numFmtId="8" fontId="9" fillId="0" borderId="15" xfId="0" applyNumberFormat="1" applyFont="1" applyBorder="1" applyAlignment="1">
      <alignment horizontal="right"/>
    </xf>
    <xf numFmtId="0" fontId="16" fillId="0" borderId="0" xfId="0" applyFont="1"/>
    <xf numFmtId="0" fontId="17" fillId="0" borderId="0" xfId="0" applyFont="1"/>
    <xf numFmtId="0" fontId="18" fillId="4" borderId="0" xfId="7" applyFont="1"/>
    <xf numFmtId="0" fontId="19" fillId="5" borderId="0" xfId="8" applyFont="1"/>
    <xf numFmtId="0" fontId="21" fillId="0" borderId="0" xfId="0" applyFont="1"/>
    <xf numFmtId="0" fontId="22" fillId="0" borderId="0" xfId="0" applyFont="1"/>
    <xf numFmtId="0" fontId="23" fillId="11" borderId="16" xfId="9" applyFont="1"/>
    <xf numFmtId="0" fontId="24" fillId="0" borderId="0" xfId="0" applyFont="1"/>
    <xf numFmtId="0" fontId="25" fillId="0" borderId="0" xfId="4" applyFont="1"/>
    <xf numFmtId="0" fontId="25" fillId="0" borderId="0" xfId="0" applyFont="1"/>
    <xf numFmtId="10" fontId="25" fillId="0" borderId="0" xfId="0" applyNumberFormat="1" applyFont="1"/>
    <xf numFmtId="3" fontId="25" fillId="0" borderId="0" xfId="0" applyNumberFormat="1" applyFont="1"/>
    <xf numFmtId="0" fontId="28" fillId="3" borderId="7" xfId="0" applyFont="1" applyFill="1" applyBorder="1"/>
    <xf numFmtId="0" fontId="28" fillId="3" borderId="0" xfId="0" applyFont="1" applyFill="1"/>
    <xf numFmtId="0" fontId="28" fillId="3" borderId="6" xfId="0" applyFont="1" applyFill="1" applyBorder="1"/>
    <xf numFmtId="0" fontId="28" fillId="3" borderId="8" xfId="0" applyFont="1" applyFill="1" applyBorder="1"/>
    <xf numFmtId="0" fontId="28" fillId="3" borderId="9" xfId="0" applyFont="1" applyFill="1" applyBorder="1"/>
    <xf numFmtId="0" fontId="28" fillId="3" borderId="10" xfId="0" applyFont="1" applyFill="1" applyBorder="1"/>
    <xf numFmtId="0" fontId="29" fillId="2" borderId="5" xfId="3" applyFont="1" applyFill="1" applyBorder="1"/>
    <xf numFmtId="0" fontId="29" fillId="2" borderId="2" xfId="3" applyFont="1" applyFill="1"/>
    <xf numFmtId="0" fontId="1" fillId="2" borderId="0" xfId="1" applyFont="1" applyFill="1" applyBorder="1"/>
    <xf numFmtId="0" fontId="30" fillId="2" borderId="6" xfId="0" applyFont="1" applyFill="1" applyBorder="1"/>
    <xf numFmtId="0" fontId="22" fillId="0" borderId="0" xfId="0" applyFont="1" applyAlignment="1"/>
    <xf numFmtId="0" fontId="31" fillId="0" borderId="0" xfId="0" applyFont="1" applyAlignment="1"/>
    <xf numFmtId="0" fontId="29" fillId="2" borderId="1" xfId="2" applyFont="1" applyFill="1" applyAlignment="1"/>
    <xf numFmtId="0" fontId="28" fillId="3" borderId="7" xfId="0" applyFont="1" applyFill="1" applyBorder="1"/>
    <xf numFmtId="0" fontId="28" fillId="3" borderId="0" xfId="0" applyFont="1" applyFill="1"/>
    <xf numFmtId="0" fontId="28" fillId="3" borderId="6" xfId="0" applyFont="1" applyFill="1" applyBorder="1"/>
    <xf numFmtId="0" fontId="22" fillId="0" borderId="0" xfId="0" applyFont="1" applyAlignment="1">
      <alignment horizontal="center"/>
    </xf>
  </cellXfs>
  <cellStyles count="10">
    <cellStyle name="Calculation" xfId="9" builtinId="22"/>
    <cellStyle name="Comma" xfId="5" builtinId="3"/>
    <cellStyle name="Good" xfId="7" builtinId="26"/>
    <cellStyle name="Heading 1" xfId="2" builtinId="16"/>
    <cellStyle name="Heading 2" xfId="3" builtinId="17"/>
    <cellStyle name="Hyperlink" xfId="4" builtinId="8"/>
    <cellStyle name="Neutral" xfId="8" builtinId="28"/>
    <cellStyle name="Normal" xfId="0" builtinId="0"/>
    <cellStyle name="Percent" xfId="6" builtinId="5"/>
    <cellStyle name="Title" xfId="1" builtinId="15"/>
  </cellStyles>
  <dxfs count="125">
    <dxf>
      <font>
        <strike val="0"/>
        <outline val="0"/>
        <shadow val="0"/>
        <u val="none"/>
        <vertAlign val="baseline"/>
        <sz val="16"/>
        <color rgb="FF000000"/>
        <name val="Calibri"/>
        <family val="2"/>
        <scheme val="none"/>
      </font>
      <numFmt numFmtId="14" formatCode="0.00%"/>
      <fill>
        <patternFill patternType="solid">
          <fgColor rgb="FFD9E1F2"/>
          <bgColor rgb="FFD9E1F2"/>
        </patternFill>
      </fill>
      <border diagonalUp="0" diagonalDown="0">
        <left/>
        <right/>
        <top style="thin">
          <color rgb="FF8EA9DB"/>
        </top>
        <bottom style="thin">
          <color rgb="FF8EA9DB"/>
        </bottom>
        <vertical/>
        <horizontal/>
      </border>
    </dxf>
    <dxf>
      <font>
        <strike val="0"/>
        <outline val="0"/>
        <shadow val="0"/>
        <u val="none"/>
        <vertAlign val="baseline"/>
        <sz val="16"/>
        <color rgb="FF000000"/>
        <name val="Calibri"/>
        <family val="2"/>
        <scheme val="none"/>
      </font>
      <fill>
        <patternFill patternType="solid">
          <fgColor rgb="FFD9E1F2"/>
          <bgColor rgb="FFD9E1F2"/>
        </patternFill>
      </fill>
      <border diagonalUp="0" diagonalDown="0">
        <left/>
        <right/>
        <top style="thin">
          <color rgb="FF8EA9DB"/>
        </top>
        <bottom style="thin">
          <color rgb="FF8EA9DB"/>
        </bottom>
        <vertical/>
        <horizontal/>
      </border>
    </dxf>
    <dxf>
      <font>
        <b val="0"/>
        <i val="0"/>
        <strike val="0"/>
        <condense val="0"/>
        <extend val="0"/>
        <outline val="0"/>
        <shadow val="0"/>
        <u val="none"/>
        <vertAlign val="baseline"/>
        <sz val="11"/>
        <color rgb="FF000000"/>
        <name val="Calibri"/>
        <family val="2"/>
        <scheme val="none"/>
      </font>
      <numFmt numFmtId="12" formatCode="&quot;$&quot;#,##0.00_);[Red]\(&quot;$&quot;#,##0.00\)"/>
      <fill>
        <patternFill patternType="solid">
          <fgColor rgb="FFD9E1F2"/>
          <bgColor rgb="FFD9E1F2"/>
        </patternFill>
      </fill>
      <border diagonalUp="0" diagonalDown="0">
        <left/>
        <right/>
        <top style="thin">
          <color rgb="FF8EA9DB"/>
        </top>
        <bottom style="thin">
          <color rgb="FF8EA9DB"/>
        </bottom>
        <vertical/>
        <horizontal/>
      </border>
    </dxf>
    <dxf>
      <font>
        <b val="0"/>
        <i val="0"/>
        <strike val="0"/>
        <condense val="0"/>
        <extend val="0"/>
        <outline val="0"/>
        <shadow val="0"/>
        <u val="none"/>
        <vertAlign val="baseline"/>
        <sz val="11"/>
        <color rgb="FF000000"/>
        <name val="Calibri"/>
        <family val="2"/>
        <scheme val="none"/>
      </font>
      <fill>
        <patternFill patternType="solid">
          <fgColor rgb="FFD9E1F2"/>
          <bgColor rgb="FFD9E1F2"/>
        </patternFill>
      </fill>
      <border diagonalUp="0" diagonalDown="0">
        <left/>
        <right/>
        <top style="thin">
          <color rgb="FF8EA9DB"/>
        </top>
        <bottom style="thin">
          <color rgb="FF8EA9DB"/>
        </bottom>
        <vertical/>
        <horizontal/>
      </border>
    </dxf>
    <dxf>
      <border outline="0">
        <top style="thin">
          <color rgb="FF8EA9DB"/>
        </top>
      </border>
    </dxf>
    <dxf>
      <border outline="0">
        <left style="thin">
          <color rgb="FF8EA9DB"/>
        </left>
        <right style="thin">
          <color rgb="FF8EA9DB"/>
        </right>
        <top style="thin">
          <color rgb="FF8EA9DB"/>
        </top>
        <bottom style="thin">
          <color rgb="FF8EA9DB"/>
        </bottom>
      </border>
    </dxf>
    <dxf>
      <border outline="0">
        <bottom style="thin">
          <color rgb="FF8EA9DB"/>
        </bottom>
      </border>
    </dxf>
    <dxf>
      <font>
        <b/>
        <i val="0"/>
        <strike val="0"/>
        <condense val="0"/>
        <extend val="0"/>
        <outline val="0"/>
        <shadow val="0"/>
        <u val="none"/>
        <vertAlign val="baseline"/>
        <sz val="11"/>
        <color rgb="FFFFFFFF"/>
        <name val="Calibri"/>
        <family val="2"/>
        <scheme val="none"/>
      </font>
      <fill>
        <patternFill patternType="solid">
          <fgColor rgb="FF4472C4"/>
          <bgColor rgb="FF4472C4"/>
        </patternFill>
      </fill>
    </dxf>
    <dxf>
      <font>
        <b val="0"/>
        <i val="0"/>
        <strike val="0"/>
        <condense val="0"/>
        <extend val="0"/>
        <outline val="0"/>
        <shadow val="0"/>
        <u val="none"/>
        <vertAlign val="baseline"/>
        <sz val="11"/>
        <color rgb="FF000000"/>
        <name val="Calibri"/>
        <family val="2"/>
        <scheme val="none"/>
      </font>
      <fill>
        <patternFill patternType="solid">
          <fgColor rgb="FFD9E1F2"/>
          <bgColor rgb="FFD9E1F2"/>
        </patternFill>
      </fill>
      <border diagonalUp="0" diagonalDown="0">
        <left/>
        <right/>
        <top style="thin">
          <color rgb="FF8EA9DB"/>
        </top>
        <bottom style="thin">
          <color rgb="FF8EA9DB"/>
        </bottom>
        <vertical/>
        <horizontal/>
      </border>
    </dxf>
    <dxf>
      <font>
        <b val="0"/>
        <i val="0"/>
        <strike val="0"/>
        <condense val="0"/>
        <extend val="0"/>
        <outline val="0"/>
        <shadow val="0"/>
        <u val="none"/>
        <vertAlign val="baseline"/>
        <sz val="11"/>
        <color rgb="FF000000"/>
        <name val="Calibri"/>
        <family val="2"/>
        <scheme val="none"/>
      </font>
      <fill>
        <patternFill patternType="solid">
          <fgColor rgb="FFD9E1F2"/>
          <bgColor rgb="FFD9E1F2"/>
        </patternFill>
      </fill>
      <border diagonalUp="0" diagonalDown="0">
        <left/>
        <right/>
        <top style="thin">
          <color rgb="FF8EA9DB"/>
        </top>
        <bottom style="thin">
          <color rgb="FF8EA9DB"/>
        </bottom>
        <vertical/>
        <horizontal/>
      </border>
    </dxf>
    <dxf>
      <border outline="0">
        <top style="thin">
          <color rgb="FF8EA9DB"/>
        </top>
      </border>
    </dxf>
    <dxf>
      <border outline="0">
        <left style="thin">
          <color rgb="FF8EA9DB"/>
        </left>
        <right style="thin">
          <color rgb="FF8EA9DB"/>
        </right>
        <top style="thin">
          <color rgb="FF8EA9DB"/>
        </top>
        <bottom style="thin">
          <color rgb="FF8EA9DB"/>
        </bottom>
      </border>
    </dxf>
    <dxf>
      <font>
        <b val="0"/>
        <i val="0"/>
        <strike val="0"/>
        <condense val="0"/>
        <extend val="0"/>
        <outline val="0"/>
        <shadow val="0"/>
        <u val="none"/>
        <vertAlign val="baseline"/>
        <sz val="11"/>
        <color rgb="FF000000"/>
        <name val="Calibri"/>
        <family val="2"/>
        <scheme val="none"/>
      </font>
      <fill>
        <patternFill patternType="solid">
          <fgColor rgb="FFD9E1F2"/>
          <bgColor rgb="FFD9E1F2"/>
        </patternFill>
      </fill>
    </dxf>
    <dxf>
      <border outline="0">
        <bottom style="thin">
          <color rgb="FF8EA9DB"/>
        </bottom>
      </border>
    </dxf>
    <dxf>
      <font>
        <b/>
        <i val="0"/>
        <strike val="0"/>
        <condense val="0"/>
        <extend val="0"/>
        <outline val="0"/>
        <shadow val="0"/>
        <u val="none"/>
        <vertAlign val="baseline"/>
        <sz val="11"/>
        <color rgb="FFFFFFFF"/>
        <name val="Calibri"/>
        <family val="2"/>
        <scheme val="none"/>
      </font>
      <fill>
        <patternFill patternType="solid">
          <fgColor rgb="FF4472C4"/>
          <bgColor rgb="FF4472C4"/>
        </patternFill>
      </fill>
    </dxf>
    <dxf>
      <font>
        <b val="0"/>
        <i val="0"/>
        <strike val="0"/>
        <condense val="0"/>
        <extend val="0"/>
        <outline val="0"/>
        <shadow val="0"/>
        <u val="none"/>
        <vertAlign val="baseline"/>
        <sz val="11"/>
        <color rgb="FF000000"/>
        <name val="Calibri"/>
        <family val="2"/>
        <scheme val="none"/>
      </font>
      <numFmt numFmtId="14" formatCode="0.00%"/>
      <fill>
        <patternFill patternType="solid">
          <fgColor rgb="FFD9E1F2"/>
          <bgColor rgb="FFD9E1F2"/>
        </patternFill>
      </fill>
      <border diagonalUp="0" diagonalDown="0">
        <left/>
        <right/>
        <top style="thin">
          <color rgb="FF8EA9DB"/>
        </top>
        <bottom style="thin">
          <color rgb="FF8EA9DB"/>
        </bottom>
        <vertical/>
        <horizontal/>
      </border>
    </dxf>
    <dxf>
      <font>
        <b val="0"/>
        <i val="0"/>
        <strike val="0"/>
        <condense val="0"/>
        <extend val="0"/>
        <outline val="0"/>
        <shadow val="0"/>
        <u val="none"/>
        <vertAlign val="baseline"/>
        <sz val="11"/>
        <color rgb="FF000000"/>
        <name val="Calibri"/>
        <family val="2"/>
        <scheme val="none"/>
      </font>
      <fill>
        <patternFill patternType="solid">
          <fgColor rgb="FFD9E1F2"/>
          <bgColor rgb="FFD9E1F2"/>
        </patternFill>
      </fill>
      <border diagonalUp="0" diagonalDown="0">
        <left/>
        <right/>
        <top style="thin">
          <color rgb="FF8EA9DB"/>
        </top>
        <bottom style="thin">
          <color rgb="FF8EA9DB"/>
        </bottom>
        <vertical/>
        <horizontal/>
      </border>
    </dxf>
    <dxf>
      <border outline="0">
        <top style="thin">
          <color rgb="FF8EA9DB"/>
        </top>
      </border>
    </dxf>
    <dxf>
      <border outline="0">
        <left style="thin">
          <color rgb="FF8EA9DB"/>
        </left>
        <right style="thin">
          <color rgb="FF8EA9DB"/>
        </right>
        <top style="thin">
          <color rgb="FF8EA9DB"/>
        </top>
        <bottom style="thin">
          <color rgb="FF8EA9DB"/>
        </bottom>
      </border>
    </dxf>
    <dxf>
      <border outline="0">
        <bottom style="thin">
          <color rgb="FF8EA9DB"/>
        </bottom>
      </border>
    </dxf>
    <dxf>
      <font>
        <b/>
        <i val="0"/>
        <strike val="0"/>
        <condense val="0"/>
        <extend val="0"/>
        <outline val="0"/>
        <shadow val="0"/>
        <u val="none"/>
        <vertAlign val="baseline"/>
        <sz val="11"/>
        <color rgb="FFFFFFFF"/>
        <name val="Calibri"/>
        <family val="2"/>
        <scheme val="none"/>
      </font>
      <fill>
        <patternFill patternType="solid">
          <fgColor rgb="FF4472C4"/>
          <bgColor rgb="FF4472C4"/>
        </patternFill>
      </fill>
    </dxf>
    <dxf>
      <font>
        <b val="0"/>
        <i val="0"/>
        <strike val="0"/>
        <condense val="0"/>
        <extend val="0"/>
        <outline val="0"/>
        <shadow val="0"/>
        <u val="none"/>
        <vertAlign val="baseline"/>
        <sz val="11"/>
        <color rgb="FF000000"/>
        <name val="Calibri"/>
        <family val="2"/>
        <scheme val="none"/>
      </font>
      <fill>
        <patternFill patternType="solid">
          <fgColor rgb="FFD9E1F2"/>
          <bgColor rgb="FFD9E1F2"/>
        </patternFill>
      </fill>
      <border diagonalUp="0" diagonalDown="0">
        <left/>
        <right/>
        <top style="thin">
          <color rgb="FF8EA9DB"/>
        </top>
        <bottom style="thin">
          <color rgb="FF8EA9DB"/>
        </bottom>
        <vertical/>
        <horizontal/>
      </border>
    </dxf>
    <dxf>
      <font>
        <b val="0"/>
        <i val="0"/>
        <strike val="0"/>
        <condense val="0"/>
        <extend val="0"/>
        <outline val="0"/>
        <shadow val="0"/>
        <u val="none"/>
        <vertAlign val="baseline"/>
        <sz val="11"/>
        <color rgb="FF000000"/>
        <name val="Calibri"/>
        <family val="2"/>
        <scheme val="none"/>
      </font>
      <fill>
        <patternFill patternType="solid">
          <fgColor rgb="FFD9E1F2"/>
          <bgColor rgb="FFD9E1F2"/>
        </patternFill>
      </fill>
      <border diagonalUp="0" diagonalDown="0">
        <left/>
        <right/>
        <top style="thin">
          <color rgb="FF8EA9DB"/>
        </top>
        <bottom style="thin">
          <color rgb="FF8EA9DB"/>
        </bottom>
        <vertical/>
        <horizontal/>
      </border>
    </dxf>
    <dxf>
      <border outline="0">
        <top style="thin">
          <color rgb="FF8EA9DB"/>
        </top>
      </border>
    </dxf>
    <dxf>
      <border outline="0">
        <left style="thin">
          <color rgb="FF8EA9DB"/>
        </left>
        <right style="thin">
          <color rgb="FF8EA9DB"/>
        </right>
        <top style="thin">
          <color rgb="FF8EA9DB"/>
        </top>
        <bottom style="thin">
          <color rgb="FF8EA9DB"/>
        </bottom>
      </border>
    </dxf>
    <dxf>
      <font>
        <b val="0"/>
        <i val="0"/>
        <strike val="0"/>
        <condense val="0"/>
        <extend val="0"/>
        <outline val="0"/>
        <shadow val="0"/>
        <u val="none"/>
        <vertAlign val="baseline"/>
        <sz val="11"/>
        <color rgb="FF000000"/>
        <name val="Calibri"/>
        <family val="2"/>
        <scheme val="none"/>
      </font>
      <fill>
        <patternFill patternType="solid">
          <fgColor rgb="FFD9E1F2"/>
          <bgColor rgb="FFD9E1F2"/>
        </patternFill>
      </fill>
    </dxf>
    <dxf>
      <border outline="0">
        <bottom style="thin">
          <color rgb="FF8EA9DB"/>
        </bottom>
      </border>
    </dxf>
    <dxf>
      <font>
        <b/>
        <i val="0"/>
        <strike val="0"/>
        <condense val="0"/>
        <extend val="0"/>
        <outline val="0"/>
        <shadow val="0"/>
        <u val="none"/>
        <vertAlign val="baseline"/>
        <sz val="11"/>
        <color rgb="FFFFFFFF"/>
        <name val="Calibri"/>
        <family val="2"/>
        <scheme val="none"/>
      </font>
      <fill>
        <patternFill patternType="solid">
          <fgColor rgb="FF4472C4"/>
          <bgColor rgb="FF4472C4"/>
        </patternFill>
      </fill>
    </dxf>
    <dxf>
      <font>
        <b val="0"/>
        <i val="0"/>
        <strike val="0"/>
        <condense val="0"/>
        <extend val="0"/>
        <outline val="0"/>
        <shadow val="0"/>
        <u val="none"/>
        <vertAlign val="baseline"/>
        <sz val="11"/>
        <color rgb="FF000000"/>
        <name val="Calibri"/>
        <family val="2"/>
        <scheme val="none"/>
      </font>
      <fill>
        <patternFill patternType="solid">
          <fgColor rgb="FFD9E1F2"/>
          <bgColor rgb="FFD9E1F2"/>
        </patternFill>
      </fill>
      <border diagonalUp="0" diagonalDown="0">
        <left/>
        <right/>
        <top style="thin">
          <color rgb="FF8EA9DB"/>
        </top>
        <bottom style="thin">
          <color rgb="FF8EA9DB"/>
        </bottom>
        <vertical/>
        <horizontal/>
      </border>
    </dxf>
    <dxf>
      <font>
        <b val="0"/>
        <i val="0"/>
        <strike val="0"/>
        <condense val="0"/>
        <extend val="0"/>
        <outline val="0"/>
        <shadow val="0"/>
        <u val="none"/>
        <vertAlign val="baseline"/>
        <sz val="11"/>
        <color rgb="FF000000"/>
        <name val="Calibri"/>
        <family val="2"/>
        <scheme val="none"/>
      </font>
      <fill>
        <patternFill patternType="solid">
          <fgColor rgb="FFD9E1F2"/>
          <bgColor rgb="FFD9E1F2"/>
        </patternFill>
      </fill>
      <border diagonalUp="0" diagonalDown="0">
        <left/>
        <right/>
        <top style="thin">
          <color rgb="FF8EA9DB"/>
        </top>
        <bottom style="thin">
          <color rgb="FF8EA9DB"/>
        </bottom>
        <vertical/>
        <horizontal/>
      </border>
    </dxf>
    <dxf>
      <border outline="0">
        <top style="thin">
          <color rgb="FF8EA9DB"/>
        </top>
      </border>
    </dxf>
    <dxf>
      <border outline="0">
        <left style="thin">
          <color rgb="FF8EA9DB"/>
        </left>
        <right style="thin">
          <color rgb="FF8EA9DB"/>
        </right>
        <top style="thin">
          <color rgb="FF8EA9DB"/>
        </top>
        <bottom style="thin">
          <color rgb="FF8EA9DB"/>
        </bottom>
      </border>
    </dxf>
    <dxf>
      <font>
        <b val="0"/>
        <i val="0"/>
        <strike val="0"/>
        <condense val="0"/>
        <extend val="0"/>
        <outline val="0"/>
        <shadow val="0"/>
        <u val="none"/>
        <vertAlign val="baseline"/>
        <sz val="11"/>
        <color rgb="FF000000"/>
        <name val="Calibri"/>
        <family val="2"/>
        <scheme val="none"/>
      </font>
      <fill>
        <patternFill patternType="solid">
          <fgColor rgb="FFD9E1F2"/>
          <bgColor rgb="FFD9E1F2"/>
        </patternFill>
      </fill>
    </dxf>
    <dxf>
      <border outline="0">
        <bottom style="thin">
          <color rgb="FF8EA9DB"/>
        </bottom>
      </border>
    </dxf>
    <dxf>
      <font>
        <b/>
        <i val="0"/>
        <strike val="0"/>
        <condense val="0"/>
        <extend val="0"/>
        <outline val="0"/>
        <shadow val="0"/>
        <u val="none"/>
        <vertAlign val="baseline"/>
        <sz val="11"/>
        <color rgb="FFFFFFFF"/>
        <name val="Calibri"/>
        <family val="2"/>
        <scheme val="none"/>
      </font>
      <fill>
        <patternFill patternType="solid">
          <fgColor rgb="FF4472C4"/>
          <bgColor rgb="FF4472C4"/>
        </patternFill>
      </fill>
    </dxf>
    <dxf>
      <font>
        <strike val="0"/>
        <outline val="0"/>
        <shadow val="0"/>
        <u val="none"/>
        <vertAlign val="baseline"/>
        <sz val="12"/>
        <color theme="1"/>
        <name val="Times New Roman"/>
        <family val="1"/>
        <scheme val="none"/>
      </font>
    </dxf>
    <dxf>
      <font>
        <strike val="0"/>
        <outline val="0"/>
        <shadow val="0"/>
        <u val="none"/>
        <vertAlign val="baseline"/>
        <sz val="12"/>
        <color theme="1"/>
        <name val="Times New Roman"/>
        <family val="1"/>
        <scheme val="none"/>
      </font>
    </dxf>
    <dxf>
      <font>
        <strike val="0"/>
        <outline val="0"/>
        <shadow val="0"/>
        <u val="none"/>
        <vertAlign val="baseline"/>
        <sz val="12"/>
        <color theme="1"/>
        <name val="Times New Roman"/>
        <family val="1"/>
        <scheme val="none"/>
      </font>
    </dxf>
    <dxf>
      <font>
        <strike val="0"/>
        <outline val="0"/>
        <shadow val="0"/>
        <u val="none"/>
        <vertAlign val="baseline"/>
        <sz val="12"/>
        <color theme="1"/>
        <name val="Times New Roman"/>
        <family val="1"/>
        <scheme val="none"/>
      </font>
    </dxf>
    <dxf>
      <font>
        <strike val="0"/>
        <outline val="0"/>
        <shadow val="0"/>
        <u val="none"/>
        <vertAlign val="baseline"/>
        <sz val="12"/>
        <color theme="1"/>
        <name val="Times New Roman"/>
        <family val="1"/>
        <scheme val="none"/>
      </font>
    </dxf>
    <dxf>
      <font>
        <strike val="0"/>
        <outline val="0"/>
        <shadow val="0"/>
        <u val="none"/>
        <vertAlign val="baseline"/>
        <sz val="16"/>
        <name val="Calibri"/>
        <family val="2"/>
      </font>
    </dxf>
    <dxf>
      <font>
        <strike val="0"/>
        <outline val="0"/>
        <shadow val="0"/>
        <u val="none"/>
        <vertAlign val="baseline"/>
        <sz val="16"/>
        <name val="Calibri"/>
        <family val="2"/>
      </font>
    </dxf>
    <dxf>
      <font>
        <strike val="0"/>
        <outline val="0"/>
        <shadow val="0"/>
        <u val="none"/>
        <vertAlign val="baseline"/>
        <sz val="16"/>
        <name val="Calibri"/>
        <family val="2"/>
      </font>
    </dxf>
    <dxf>
      <font>
        <b val="0"/>
        <i val="0"/>
        <strike val="0"/>
        <condense val="0"/>
        <extend val="0"/>
        <outline val="0"/>
        <shadow val="0"/>
        <u val="none"/>
        <vertAlign val="baseline"/>
        <sz val="12"/>
        <color theme="1"/>
        <name val="Times New Roman"/>
        <family val="1"/>
        <scheme val="none"/>
      </font>
      <numFmt numFmtId="164" formatCode="0.0%"/>
      <alignment horizontal="right" vertical="bottom" textRotation="0" wrapText="0" indent="0" justifyLastLine="0" shrinkToFit="0" readingOrder="0"/>
    </dxf>
    <dxf>
      <font>
        <b val="0"/>
        <i val="0"/>
        <strike val="0"/>
        <condense val="0"/>
        <extend val="0"/>
        <outline val="0"/>
        <shadow val="0"/>
        <u val="none"/>
        <vertAlign val="baseline"/>
        <sz val="12"/>
        <color theme="1"/>
        <name val="Times New Roman"/>
        <family val="1"/>
        <scheme val="none"/>
      </font>
      <numFmt numFmtId="164" formatCode="0.0%"/>
      <alignment horizontal="right" vertical="bottom" textRotation="0" wrapText="0" indent="0" justifyLastLine="0" shrinkToFit="0" readingOrder="0"/>
    </dxf>
    <dxf>
      <font>
        <b val="0"/>
        <i val="0"/>
        <strike val="0"/>
        <condense val="0"/>
        <extend val="0"/>
        <outline val="0"/>
        <shadow val="0"/>
        <u val="none"/>
        <vertAlign val="baseline"/>
        <sz val="12"/>
        <color theme="1"/>
        <name val="Times New Roman"/>
        <family val="1"/>
        <scheme val="none"/>
      </font>
      <numFmt numFmtId="1" formatCode="0"/>
      <alignment horizontal="right" vertical="bottom" textRotation="0" wrapText="0" indent="0" justifyLastLine="0" shrinkToFit="0" readingOrder="0"/>
    </dxf>
    <dxf>
      <font>
        <b val="0"/>
        <i val="0"/>
        <strike val="0"/>
        <condense val="0"/>
        <extend val="0"/>
        <outline val="0"/>
        <shadow val="0"/>
        <u val="none"/>
        <vertAlign val="baseline"/>
        <sz val="12"/>
        <color theme="1"/>
        <name val="Times New Roman"/>
        <family val="1"/>
        <scheme val="none"/>
      </font>
      <numFmt numFmtId="1" formatCode="0"/>
      <alignment horizontal="right" vertical="bottom" textRotation="0" wrapText="0" indent="0" justifyLastLine="0" shrinkToFit="0" readingOrder="0"/>
    </dxf>
    <dxf>
      <font>
        <b val="0"/>
        <i val="0"/>
        <strike val="0"/>
        <condense val="0"/>
        <extend val="0"/>
        <outline val="0"/>
        <shadow val="0"/>
        <u val="none"/>
        <vertAlign val="baseline"/>
        <sz val="12"/>
        <color theme="1"/>
        <name val="Times New Roman"/>
        <family val="1"/>
        <scheme val="none"/>
      </font>
      <numFmt numFmtId="1" formatCode="0"/>
      <alignment horizontal="right" vertical="bottom" textRotation="0" wrapText="0" indent="0" justifyLastLine="0" shrinkToFit="0" readingOrder="0"/>
    </dxf>
    <dxf>
      <font>
        <b val="0"/>
        <i val="0"/>
        <strike val="0"/>
        <condense val="0"/>
        <extend val="0"/>
        <outline val="0"/>
        <shadow val="0"/>
        <u val="none"/>
        <vertAlign val="baseline"/>
        <sz val="12"/>
        <color rgb="FF000000"/>
        <name val="Times New Roman"/>
        <family val="1"/>
        <scheme val="none"/>
      </font>
      <numFmt numFmtId="1" formatCode="0"/>
      <alignment horizontal="right" vertical="bottom" textRotation="0" wrapText="0" indent="0" justifyLastLine="0" shrinkToFit="0" readingOrder="0"/>
    </dxf>
    <dxf>
      <font>
        <b val="0"/>
        <i val="0"/>
        <strike val="0"/>
        <condense val="0"/>
        <extend val="0"/>
        <outline val="0"/>
        <shadow val="0"/>
        <u val="none"/>
        <vertAlign val="baseline"/>
        <sz val="12"/>
        <color rgb="FF000000"/>
        <name val="Times New Roman"/>
        <family val="1"/>
        <scheme val="none"/>
      </font>
      <numFmt numFmtId="1" formatCode="0"/>
      <alignment horizontal="right" vertical="bottom" textRotation="0" wrapText="0" indent="0" justifyLastLine="0" shrinkToFit="0" readingOrder="0"/>
    </dxf>
    <dxf>
      <font>
        <b val="0"/>
        <i val="0"/>
        <strike val="0"/>
        <condense val="0"/>
        <extend val="0"/>
        <outline val="0"/>
        <shadow val="0"/>
        <u val="none"/>
        <vertAlign val="baseline"/>
        <sz val="12"/>
        <color rgb="FF000000"/>
        <name val="Times New Roman"/>
        <family val="1"/>
        <scheme val="none"/>
      </font>
      <numFmt numFmtId="1" formatCode="0"/>
      <alignment horizontal="right" vertical="bottom" textRotation="0" wrapText="0" indent="0" justifyLastLine="0" shrinkToFit="0" readingOrder="0"/>
    </dxf>
    <dxf>
      <font>
        <b val="0"/>
        <i val="0"/>
        <strike val="0"/>
        <condense val="0"/>
        <extend val="0"/>
        <outline val="0"/>
        <shadow val="0"/>
        <u val="none"/>
        <vertAlign val="baseline"/>
        <sz val="12"/>
        <color rgb="FF000000"/>
        <name val="Times New Roman"/>
        <family val="1"/>
        <scheme val="none"/>
      </font>
      <numFmt numFmtId="12" formatCode="&quot;$&quot;#,##0.00_);[Red]\(&quot;$&quot;#,##0.00\)"/>
      <alignment horizontal="right" vertical="bottom" textRotation="0" wrapText="0" indent="0" justifyLastLine="0" shrinkToFit="0" readingOrder="0"/>
    </dxf>
    <dxf>
      <font>
        <b val="0"/>
        <i val="0"/>
        <strike val="0"/>
        <condense val="0"/>
        <extend val="0"/>
        <outline val="0"/>
        <shadow val="0"/>
        <u val="none"/>
        <vertAlign val="baseline"/>
        <sz val="12"/>
        <color theme="1"/>
        <name val="Times New Roman"/>
        <family val="1"/>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2"/>
        <color theme="1"/>
        <name val="Times New Roman"/>
        <family val="1"/>
        <scheme val="none"/>
      </font>
      <alignment horizontal="right" vertical="bottom" textRotation="0" wrapText="0" indent="0" justifyLastLine="0" shrinkToFit="0" readingOrder="0"/>
    </dxf>
    <dxf>
      <font>
        <b val="0"/>
        <i val="0"/>
        <strike val="0"/>
        <condense val="0"/>
        <extend val="0"/>
        <outline val="0"/>
        <shadow val="0"/>
        <u val="none"/>
        <vertAlign val="baseline"/>
        <sz val="12"/>
        <color theme="1"/>
        <name val="Times New Roman"/>
        <family val="1"/>
        <scheme val="none"/>
      </font>
      <numFmt numFmtId="14" formatCode="0.00%"/>
      <alignment horizontal="right" vertical="bottom" textRotation="0" wrapText="0" indent="0" justifyLastLine="0" shrinkToFit="0" readingOrder="0"/>
    </dxf>
    <dxf>
      <font>
        <b/>
        <i val="0"/>
        <strike val="0"/>
        <condense val="0"/>
        <extend val="0"/>
        <outline val="0"/>
        <shadow val="0"/>
        <u val="none"/>
        <vertAlign val="baseline"/>
        <sz val="12"/>
        <color theme="1"/>
        <name val="Times New Roman"/>
        <family val="1"/>
        <scheme val="none"/>
      </font>
    </dxf>
    <dxf>
      <font>
        <b/>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dxf>
    <dxf>
      <font>
        <b/>
        <i val="0"/>
        <strike val="0"/>
        <condense val="0"/>
        <extend val="0"/>
        <outline val="0"/>
        <shadow val="0"/>
        <u val="none"/>
        <vertAlign val="baseline"/>
        <sz val="12"/>
        <color theme="1"/>
        <name val="Times New Roman"/>
        <family val="1"/>
        <scheme val="none"/>
      </font>
      <alignment horizontal="left" vertical="bottom" textRotation="0" wrapText="0" indent="0" justifyLastLine="0" shrinkToFit="0" readingOrder="0"/>
    </dxf>
    <dxf>
      <font>
        <strike val="0"/>
        <outline val="0"/>
        <shadow val="0"/>
        <u val="none"/>
        <vertAlign val="baseline"/>
        <sz val="12"/>
        <name val="Times New Roman"/>
        <family val="1"/>
        <scheme val="none"/>
      </font>
    </dxf>
    <dxf>
      <font>
        <strike val="0"/>
        <outline val="0"/>
        <shadow val="0"/>
        <u val="none"/>
        <vertAlign val="baseline"/>
        <sz val="12"/>
        <name val="Times New Roman"/>
        <family val="1"/>
        <scheme val="none"/>
      </font>
      <numFmt numFmtId="164" formatCode="0.0%"/>
    </dxf>
    <dxf>
      <font>
        <strike val="0"/>
        <outline val="0"/>
        <shadow val="0"/>
        <u val="none"/>
        <vertAlign val="baseline"/>
        <sz val="12"/>
        <name val="Times New Roman"/>
        <family val="1"/>
        <scheme val="none"/>
      </font>
      <numFmt numFmtId="164" formatCode="0.0%"/>
    </dxf>
    <dxf>
      <font>
        <strike val="0"/>
        <outline val="0"/>
        <shadow val="0"/>
        <u val="none"/>
        <vertAlign val="baseline"/>
        <sz val="12"/>
        <name val="Times New Roman"/>
        <family val="1"/>
        <scheme val="none"/>
      </font>
    </dxf>
    <dxf>
      <font>
        <strike val="0"/>
        <outline val="0"/>
        <shadow val="0"/>
        <u val="none"/>
        <vertAlign val="baseline"/>
        <sz val="12"/>
        <name val="Times New Roman"/>
        <family val="1"/>
        <scheme val="none"/>
      </font>
    </dxf>
    <dxf>
      <font>
        <b/>
        <i val="0"/>
        <strike val="0"/>
        <condense val="0"/>
        <extend val="0"/>
        <outline val="0"/>
        <shadow val="0"/>
        <u val="none"/>
        <vertAlign val="baseline"/>
        <sz val="12"/>
        <color theme="0"/>
        <name val="Times New Roman"/>
        <family val="1"/>
        <scheme val="none"/>
      </font>
    </dxf>
    <dxf>
      <fill>
        <patternFill>
          <bgColor theme="9" tint="0.39994506668294322"/>
        </patternFill>
      </fill>
    </dxf>
    <dxf>
      <fill>
        <patternFill>
          <bgColor rgb="FFFF5757"/>
        </patternFill>
      </fill>
    </dxf>
    <dxf>
      <fill>
        <patternFill>
          <bgColor theme="9" tint="0.39994506668294322"/>
        </patternFill>
      </fill>
    </dxf>
    <dxf>
      <fill>
        <patternFill>
          <bgColor rgb="FFFF6969"/>
        </patternFill>
      </fill>
    </dxf>
    <dxf>
      <font>
        <strike val="0"/>
        <outline val="0"/>
        <shadow val="0"/>
        <u val="none"/>
        <vertAlign val="baseline"/>
        <sz val="12"/>
        <color theme="1"/>
        <name val="Times New Roman"/>
        <family val="1"/>
        <scheme val="none"/>
      </font>
    </dxf>
    <dxf>
      <font>
        <strike val="0"/>
        <outline val="0"/>
        <shadow val="0"/>
        <u val="none"/>
        <vertAlign val="baseline"/>
        <sz val="12"/>
        <color theme="1"/>
        <name val="Times New Roman"/>
        <family val="1"/>
        <scheme val="none"/>
      </font>
    </dxf>
    <dxf>
      <font>
        <strike val="0"/>
        <outline val="0"/>
        <shadow val="0"/>
        <u val="none"/>
        <vertAlign val="baseline"/>
        <sz val="12"/>
        <color theme="1"/>
        <name val="Times New Roman"/>
        <family val="1"/>
        <scheme val="none"/>
      </font>
    </dxf>
    <dxf>
      <font>
        <strike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dxf>
    <dxf>
      <font>
        <strike val="0"/>
        <outline val="0"/>
        <shadow val="0"/>
        <u val="none"/>
        <vertAlign val="baseline"/>
        <sz val="12"/>
        <color theme="1"/>
        <name val="Times New Roman"/>
        <family val="1"/>
        <scheme val="none"/>
      </font>
    </dxf>
    <dxf>
      <font>
        <strike val="0"/>
        <outline val="0"/>
        <shadow val="0"/>
        <u val="none"/>
        <vertAlign val="baseline"/>
        <sz val="12"/>
        <color theme="1"/>
        <name val="Times New Roman"/>
        <family val="1"/>
        <scheme val="none"/>
      </font>
    </dxf>
    <dxf>
      <font>
        <strike val="0"/>
        <outline val="0"/>
        <shadow val="0"/>
        <u val="none"/>
        <vertAlign val="baseline"/>
        <sz val="12"/>
        <color theme="1"/>
        <name val="Times New Roman"/>
        <family val="1"/>
        <scheme val="none"/>
      </font>
    </dxf>
    <dxf>
      <font>
        <color theme="0"/>
      </font>
      <fill>
        <patternFill>
          <bgColor theme="4" tint="-0.2499465926084170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strike val="0"/>
        <outline val="0"/>
        <shadow val="0"/>
        <u val="none"/>
        <vertAlign val="baseline"/>
        <sz val="12"/>
        <color theme="1"/>
        <name val="Times New Roman"/>
        <family val="1"/>
        <scheme val="none"/>
      </font>
    </dxf>
    <dxf>
      <font>
        <strike val="0"/>
        <outline val="0"/>
        <shadow val="0"/>
        <u val="none"/>
        <vertAlign val="baseline"/>
        <sz val="12"/>
        <color theme="1"/>
        <name val="Times New Roman"/>
        <family val="1"/>
        <scheme val="none"/>
      </font>
    </dxf>
    <dxf>
      <font>
        <strike val="0"/>
        <outline val="0"/>
        <shadow val="0"/>
        <u val="none"/>
        <vertAlign val="baseline"/>
        <sz val="12"/>
        <color theme="1"/>
        <name val="Times New Roman"/>
        <family val="1"/>
        <scheme val="none"/>
      </font>
    </dxf>
    <dxf>
      <font>
        <strike val="0"/>
        <outline val="0"/>
        <shadow val="0"/>
        <u val="none"/>
        <vertAlign val="baseline"/>
        <sz val="12"/>
        <color theme="1"/>
        <name val="Times New Roman"/>
        <family val="1"/>
        <scheme val="none"/>
      </font>
    </dxf>
    <dxf>
      <font>
        <strike val="0"/>
        <outline val="0"/>
        <shadow val="0"/>
        <u val="none"/>
        <vertAlign val="baseline"/>
        <sz val="12"/>
        <color theme="1"/>
        <name val="Times New Roman"/>
        <family val="1"/>
        <scheme val="none"/>
      </font>
    </dxf>
    <dxf>
      <font>
        <strike val="0"/>
        <outline val="0"/>
        <shadow val="0"/>
        <u val="none"/>
        <vertAlign val="baseline"/>
        <sz val="12"/>
        <color theme="1"/>
        <name val="Times New Roman"/>
        <family val="1"/>
        <scheme val="none"/>
      </font>
    </dxf>
    <dxf>
      <font>
        <strike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dxf>
    <dxf>
      <font>
        <strike val="0"/>
        <outline val="0"/>
        <shadow val="0"/>
        <u val="none"/>
        <vertAlign val="baseline"/>
        <sz val="12"/>
        <color theme="1"/>
        <name val="Times New Roman"/>
        <family val="1"/>
        <scheme val="none"/>
      </font>
    </dxf>
    <dxf>
      <font>
        <strike val="0"/>
        <outline val="0"/>
        <shadow val="0"/>
        <u val="none"/>
        <vertAlign val="baseline"/>
        <sz val="12"/>
        <color theme="1"/>
        <name val="Times New Roman"/>
        <family val="1"/>
        <scheme val="none"/>
      </font>
    </dxf>
    <dxf>
      <font>
        <strike val="0"/>
        <outline val="0"/>
        <shadow val="0"/>
        <u val="none"/>
        <vertAlign val="baseline"/>
        <sz val="12"/>
        <color theme="1"/>
        <name val="Times New Roman"/>
        <family val="1"/>
        <scheme val="none"/>
      </font>
    </dxf>
    <dxf>
      <fill>
        <patternFill>
          <bgColor theme="9" tint="0.39994506668294322"/>
        </patternFill>
      </fill>
    </dxf>
    <dxf>
      <fill>
        <patternFill>
          <bgColor rgb="FFFF4F4F"/>
        </patternFill>
      </fill>
    </dxf>
    <dxf>
      <font>
        <b val="0"/>
        <i val="0"/>
        <strike val="0"/>
        <condense val="0"/>
        <extend val="0"/>
        <outline val="0"/>
        <shadow val="0"/>
        <u val="none"/>
        <vertAlign val="baseline"/>
        <sz val="12"/>
        <color rgb="FF000000"/>
        <name val="Times New Roman"/>
        <family val="1"/>
        <scheme val="none"/>
      </font>
      <numFmt numFmtId="12" formatCode="&quot;$&quot;#,##0.00_);[Red]\(&quot;$&quot;#,##0.00\)"/>
    </dxf>
    <dxf>
      <font>
        <b val="0"/>
        <i val="0"/>
        <strike val="0"/>
        <condense val="0"/>
        <extend val="0"/>
        <outline val="0"/>
        <shadow val="0"/>
        <u val="none"/>
        <vertAlign val="baseline"/>
        <sz val="12"/>
        <color rgb="FF000000"/>
        <name val="Times New Roman"/>
        <family val="1"/>
        <scheme val="none"/>
      </font>
    </dxf>
    <dxf>
      <font>
        <b val="0"/>
        <i val="0"/>
        <strike val="0"/>
        <condense val="0"/>
        <extend val="0"/>
        <outline val="0"/>
        <shadow val="0"/>
        <u val="none"/>
        <vertAlign val="baseline"/>
        <sz val="12"/>
        <color rgb="FF000000"/>
        <name val="Times New Roman"/>
        <family val="1"/>
        <scheme val="none"/>
      </font>
    </dxf>
    <dxf>
      <font>
        <b val="0"/>
        <strike val="0"/>
        <outline val="0"/>
        <shadow val="0"/>
        <u val="none"/>
        <vertAlign val="baseline"/>
        <sz val="12"/>
        <name val="Times New Roman"/>
        <family val="1"/>
        <scheme val="none"/>
      </font>
    </dxf>
    <dxf>
      <font>
        <b val="0"/>
        <strike val="0"/>
        <outline val="0"/>
        <shadow val="0"/>
        <u val="none"/>
        <vertAlign val="baseline"/>
        <sz val="12"/>
        <name val="Times New Roman"/>
        <family val="1"/>
        <scheme val="none"/>
      </font>
    </dxf>
    <dxf>
      <fill>
        <patternFill>
          <bgColor theme="9" tint="0.39994506668294322"/>
        </patternFill>
      </fill>
    </dxf>
    <dxf>
      <fill>
        <patternFill>
          <bgColor rgb="FFFF5B5B"/>
        </patternFill>
      </fill>
    </dxf>
    <dxf>
      <font>
        <b val="0"/>
        <i val="0"/>
        <strike val="0"/>
        <condense val="0"/>
        <extend val="0"/>
        <outline val="0"/>
        <shadow val="0"/>
        <u val="none"/>
        <vertAlign val="baseline"/>
        <sz val="14"/>
        <color theme="1"/>
        <name val="Times New Roman"/>
        <family val="1"/>
        <scheme val="none"/>
      </font>
    </dxf>
    <dxf>
      <font>
        <b val="0"/>
        <i val="0"/>
        <strike val="0"/>
        <condense val="0"/>
        <extend val="0"/>
        <outline val="0"/>
        <shadow val="0"/>
        <u val="none"/>
        <vertAlign val="baseline"/>
        <sz val="14"/>
        <color theme="1"/>
        <name val="Times New Roman"/>
        <family val="1"/>
        <scheme val="none"/>
      </font>
      <numFmt numFmtId="14" formatCode="0.00%"/>
    </dxf>
    <dxf>
      <font>
        <b val="0"/>
        <i val="0"/>
        <strike val="0"/>
        <condense val="0"/>
        <extend val="0"/>
        <outline val="0"/>
        <shadow val="0"/>
        <u val="none"/>
        <vertAlign val="baseline"/>
        <sz val="14"/>
        <color theme="1"/>
        <name val="Times New Roman"/>
        <family val="1"/>
        <scheme val="none"/>
      </font>
      <numFmt numFmtId="3" formatCode="#,##0"/>
    </dxf>
    <dxf>
      <font>
        <b val="0"/>
        <i val="0"/>
        <strike val="0"/>
        <condense val="0"/>
        <extend val="0"/>
        <outline val="0"/>
        <shadow val="0"/>
        <u val="none"/>
        <vertAlign val="baseline"/>
        <sz val="14"/>
        <color theme="1"/>
        <name val="Times New Roman"/>
        <family val="1"/>
        <scheme val="none"/>
      </font>
    </dxf>
    <dxf>
      <font>
        <b val="0"/>
        <i val="0"/>
        <strike val="0"/>
        <condense val="0"/>
        <extend val="0"/>
        <outline val="0"/>
        <shadow val="0"/>
        <u val="none"/>
        <vertAlign val="baseline"/>
        <sz val="14"/>
        <color theme="1"/>
        <name val="Times New Roman"/>
        <family val="1"/>
        <scheme val="none"/>
      </font>
      <numFmt numFmtId="3" formatCode="#,##0"/>
    </dxf>
    <dxf>
      <font>
        <b val="0"/>
        <i val="0"/>
        <strike val="0"/>
        <condense val="0"/>
        <extend val="0"/>
        <outline val="0"/>
        <shadow val="0"/>
        <u val="none"/>
        <vertAlign val="baseline"/>
        <sz val="14"/>
        <color theme="1"/>
        <name val="Times New Roman"/>
        <family val="1"/>
        <scheme val="none"/>
      </font>
      <numFmt numFmtId="14" formatCode="0.00%"/>
    </dxf>
    <dxf>
      <font>
        <b val="0"/>
        <i val="0"/>
        <strike val="0"/>
        <condense val="0"/>
        <extend val="0"/>
        <outline val="0"/>
        <shadow val="0"/>
        <u val="none"/>
        <vertAlign val="baseline"/>
        <sz val="14"/>
        <color theme="1"/>
        <name val="Times New Roman"/>
        <family val="1"/>
        <scheme val="none"/>
      </font>
    </dxf>
    <dxf>
      <font>
        <b val="0"/>
        <i val="0"/>
        <strike val="0"/>
        <condense val="0"/>
        <extend val="0"/>
        <outline val="0"/>
        <shadow val="0"/>
        <u val="none"/>
        <vertAlign val="baseline"/>
        <sz val="14"/>
        <color theme="1"/>
        <name val="Times New Roman"/>
        <family val="1"/>
        <scheme val="none"/>
      </font>
    </dxf>
    <dxf>
      <font>
        <b val="0"/>
        <i val="0"/>
        <strike val="0"/>
        <condense val="0"/>
        <extend val="0"/>
        <outline val="0"/>
        <shadow val="0"/>
        <u val="none"/>
        <vertAlign val="baseline"/>
        <sz val="14"/>
        <color theme="1"/>
        <name val="Times New Roman"/>
        <family val="1"/>
        <scheme val="none"/>
      </font>
    </dxf>
    <dxf>
      <font>
        <b val="0"/>
        <i val="0"/>
        <strike val="0"/>
        <condense val="0"/>
        <extend val="0"/>
        <outline val="0"/>
        <shadow val="0"/>
        <u val="none"/>
        <vertAlign val="baseline"/>
        <sz val="14"/>
        <color theme="1"/>
        <name val="Times New Roman"/>
        <family val="1"/>
        <scheme val="none"/>
      </font>
    </dxf>
    <dxf>
      <font>
        <b/>
        <i val="0"/>
        <strike val="0"/>
        <condense val="0"/>
        <extend val="0"/>
        <outline val="0"/>
        <shadow val="0"/>
        <u val="none"/>
        <vertAlign val="baseline"/>
        <sz val="14"/>
        <color theme="1"/>
        <name val="Times New Roman"/>
        <family val="1"/>
        <scheme val="none"/>
      </font>
    </dxf>
    <dxf>
      <fill>
        <patternFill>
          <bgColor theme="9" tint="0.39994506668294322"/>
        </patternFill>
      </fill>
    </dxf>
    <dxf>
      <fill>
        <patternFill>
          <bgColor rgb="FFFF7D7D"/>
        </patternFill>
      </fill>
    </dxf>
    <dxf>
      <fill>
        <patternFill>
          <bgColor rgb="FFFF7979"/>
        </patternFill>
      </fill>
    </dxf>
    <dxf>
      <fill>
        <patternFill>
          <bgColor theme="9" tint="0.39994506668294322"/>
        </patternFill>
      </fill>
    </dxf>
    <dxf>
      <font>
        <strike val="0"/>
        <outline val="0"/>
        <shadow val="0"/>
        <u val="none"/>
        <vertAlign val="baseline"/>
        <sz val="12"/>
        <color theme="1"/>
        <name val="Times New Roman"/>
        <family val="1"/>
        <scheme val="none"/>
      </font>
    </dxf>
    <dxf>
      <font>
        <strike val="0"/>
        <outline val="0"/>
        <shadow val="0"/>
        <u val="none"/>
        <vertAlign val="baseline"/>
        <sz val="12"/>
        <color theme="1"/>
        <name val="Times New Roman"/>
        <family val="1"/>
        <scheme val="none"/>
      </font>
    </dxf>
    <dxf>
      <font>
        <strike val="0"/>
        <outline val="0"/>
        <shadow val="0"/>
        <u val="none"/>
        <vertAlign val="baseline"/>
        <sz val="12"/>
        <color theme="1"/>
        <name val="Times New Roman"/>
        <family val="1"/>
        <scheme val="none"/>
      </font>
    </dxf>
    <dxf>
      <font>
        <strike val="0"/>
        <outline val="0"/>
        <shadow val="0"/>
        <u val="none"/>
        <vertAlign val="baseline"/>
        <sz val="12"/>
        <color theme="1"/>
        <name val="Times New Roman"/>
        <family val="1"/>
        <scheme val="none"/>
      </font>
    </dxf>
    <dxf>
      <font>
        <b/>
        <color theme="1"/>
      </font>
      <border>
        <bottom style="thin">
          <color theme="8"/>
        </bottom>
        <vertical/>
        <horizontal/>
      </border>
    </dxf>
    <dxf>
      <font>
        <b/>
        <i val="0"/>
        <strike val="0"/>
        <sz val="20"/>
        <color theme="1"/>
        <name val="Calibri"/>
        <family val="2"/>
        <scheme val="minor"/>
      </font>
      <fill>
        <patternFill>
          <bgColor theme="0"/>
        </patternFill>
      </fill>
      <border diagonalUp="0" diagonalDown="0">
        <left/>
        <right/>
        <top/>
        <bottom/>
        <vertical/>
        <horizontal/>
      </border>
    </dxf>
    <dxf>
      <font>
        <b/>
        <i val="0"/>
        <sz val="24"/>
        <color theme="1"/>
      </font>
    </dxf>
    <dxf>
      <font>
        <color auto="1"/>
      </font>
      <fill>
        <patternFill patternType="solid">
          <bgColor theme="5" tint="0.39994506668294322"/>
        </patternFill>
      </fill>
    </dxf>
    <dxf>
      <font>
        <b/>
        <i val="0"/>
        <sz val="20"/>
        <color theme="4"/>
      </font>
    </dxf>
    <dxf>
      <font>
        <b/>
        <i val="0"/>
      </font>
    </dxf>
    <dxf>
      <font>
        <b/>
        <i val="0"/>
        <sz val="16"/>
      </font>
    </dxf>
  </dxfs>
  <tableStyles count="4" defaultTableStyle="TableStyleMedium2" defaultPivotStyle="PivotStyleLight16">
    <tableStyle name="Slicer Style 1" pivot="0" table="0" count="2" xr9:uid="{6D52B0A9-E9CB-47FA-8B90-96EF1654C38F}">
      <tableStyleElement type="wholeTable" dxfId="124"/>
      <tableStyleElement type="headerRow" dxfId="123"/>
    </tableStyle>
    <tableStyle name="Slicer Style 2" pivot="0" table="0" count="1" xr9:uid="{88136F50-A5C6-4DFE-86A9-0D832274A3FA}">
      <tableStyleElement type="headerRow" dxfId="122"/>
    </tableStyle>
    <tableStyle name="Slicer Style 3" pivot="0" table="0" count="3" xr9:uid="{903966CF-96C4-4414-B5B0-08311431FF77}">
      <tableStyleElement type="wholeTable" dxfId="121"/>
      <tableStyleElement type="headerRow" dxfId="120"/>
    </tableStyle>
    <tableStyle name="SlicerStyleDark5 2" pivot="0" table="0" count="10" xr9:uid="{42799F5D-25F3-43D2-98ED-C82FE362A283}">
      <tableStyleElement type="wholeTable" dxfId="119"/>
      <tableStyleElement type="headerRow" dxfId="118"/>
    </tableStyle>
  </tableStyles>
  <colors>
    <mruColors>
      <color rgb="FFFF5757"/>
      <color rgb="FFFF6969"/>
      <color rgb="FFFF2929"/>
      <color rgb="FFEF8747"/>
      <color rgb="FFFF4F4F"/>
      <color rgb="FFFF5B5B"/>
      <color rgb="FFFF7D7D"/>
      <color rgb="FFFF7979"/>
      <color rgb="FFF09156"/>
      <color rgb="FFFB644B"/>
    </mruColors>
  </colors>
  <extLst>
    <ext xmlns:x14="http://schemas.microsoft.com/office/spreadsheetml/2009/9/main" uri="{46F421CA-312F-682f-3DD2-61675219B42D}">
      <x14:dxfs count="9">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theme="8"/>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b/>
            <i val="0"/>
            <strike val="0"/>
            <u val="none"/>
            <sz val="18"/>
            <color theme="5"/>
          </font>
          <fill>
            <patternFill patternType="none">
              <bgColor auto="1"/>
            </patternFill>
          </fill>
        </dxf>
      </x14:dxfs>
    </ext>
    <ext xmlns:x14="http://schemas.microsoft.com/office/spreadsheetml/2009/9/main" uri="{EB79DEF2-80B8-43e5-95BD-54CBDDF9020C}">
      <x14:slicerStyles defaultSlicerStyle="SlicerStyleDark5 2">
        <x14:slicerStyle name="Slicer Style 1"/>
        <x14:slicerStyle name="Slicer Style 2"/>
        <x14:slicerStyle name="Slicer Style 3">
          <x14:slicerStyleElements>
            <x14:slicerStyleElement type="selectedItemWithData" dxfId="8"/>
          </x14:slicerStyleElements>
        </x14:slicerStyle>
        <x14:slicerStyle name="SlicerStyleDark5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4.xml"/><Relationship Id="rId39" Type="http://schemas.openxmlformats.org/officeDocument/2006/relationships/customXml" Target="../customXml/item17.xml"/><Relationship Id="rId21" Type="http://schemas.openxmlformats.org/officeDocument/2006/relationships/sharedStrings" Target="sharedStrings.xml"/><Relationship Id="rId34" Type="http://schemas.openxmlformats.org/officeDocument/2006/relationships/customXml" Target="../customXml/item12.xml"/><Relationship Id="rId42" Type="http://schemas.openxmlformats.org/officeDocument/2006/relationships/customXml" Target="../customXml/item20.xml"/><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styles" Target="styles.xml"/><Relationship Id="rId29" Type="http://schemas.openxmlformats.org/officeDocument/2006/relationships/customXml" Target="../customXml/item7.xml"/><Relationship Id="rId41"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40" Type="http://schemas.openxmlformats.org/officeDocument/2006/relationships/customXml" Target="../customXml/item18.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10" Type="http://schemas.openxmlformats.org/officeDocument/2006/relationships/worksheet" Target="worksheets/sheet10.xml"/><Relationship Id="rId19" Type="http://schemas.openxmlformats.org/officeDocument/2006/relationships/connections" Target="connections.xml"/><Relationship Id="rId31" Type="http://schemas.openxmlformats.org/officeDocument/2006/relationships/customXml" Target="../customXml/item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owerPivotData" Target="model/item.data"/><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microsoft.com/office/2007/relationships/slicerCache" Target="slicerCaches/slicerCache2.xml"/><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10 Dashboard.xlsm]Pivot Tables!College Acceptance</c:name>
    <c:fmtId val="7"/>
  </c:pivotSource>
  <c:chart>
    <c:title>
      <c:tx>
        <c:rich>
          <a:bodyPr rot="0" spcFirstLastPara="1" vertOverflow="ellipsis" vert="horz" wrap="square" anchor="ctr" anchorCtr="1"/>
          <a:lstStyle/>
          <a:p>
            <a:pPr>
              <a:defRPr sz="1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800"/>
              <a:t>College Acceptance V/S Graduation Rate</a:t>
            </a:r>
          </a:p>
        </c:rich>
      </c:tx>
      <c:overlay val="0"/>
      <c:spPr>
        <a:noFill/>
        <a:ln>
          <a:noFill/>
        </a:ln>
        <a:effectLst/>
      </c:spPr>
      <c:txPr>
        <a:bodyPr rot="0" spcFirstLastPara="1" vertOverflow="ellipsis" vert="horz" wrap="square" anchor="ctr" anchorCtr="1"/>
        <a:lstStyle/>
        <a:p>
          <a:pPr>
            <a:defRPr sz="1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B0F0"/>
          </a:solidFill>
          <a:ln>
            <a:noFill/>
          </a:ln>
          <a:effectLst>
            <a:outerShdw blurRad="57150" dist="19050" dir="5400000" algn="ctr" rotWithShape="0">
              <a:srgbClr val="000000">
                <a:alpha val="63000"/>
              </a:srgbClr>
            </a:outerShdw>
          </a:effectLst>
        </c:spPr>
      </c:pivotFmt>
      <c:pivotFmt>
        <c:idx val="5"/>
        <c:spPr>
          <a:solidFill>
            <a:schemeClr val="accent2"/>
          </a:solidFill>
          <a:ln>
            <a:noFill/>
          </a:ln>
          <a:effectLst>
            <a:outerShdw blurRad="57150" dist="19050" dir="5400000" algn="ctr" rotWithShape="0">
              <a:srgbClr val="000000">
                <a:alpha val="63000"/>
              </a:srgbClr>
            </a:outerShdw>
          </a:effectLst>
        </c:spPr>
      </c:pivotFmt>
      <c:pivotFmt>
        <c:idx val="6"/>
        <c:spPr>
          <a:solidFill>
            <a:srgbClr val="00B0F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Tables'!$B$3</c:f>
              <c:strCache>
                <c:ptCount val="1"/>
                <c:pt idx="0">
                  <c:v>Sum of College Acceptance Rate</c:v>
                </c:pt>
              </c:strCache>
            </c:strRef>
          </c:tx>
          <c:spPr>
            <a:solidFill>
              <a:srgbClr val="00B0F0"/>
            </a:solidFill>
            <a:ln>
              <a:noFill/>
            </a:ln>
            <a:effectLst>
              <a:outerShdw blurRad="57150" dist="19050" dir="5400000" algn="ctr" rotWithShape="0">
                <a:srgbClr val="000000">
                  <a:alpha val="63000"/>
                </a:srgbClr>
              </a:outerShdw>
            </a:effectLst>
          </c:spPr>
          <c:invertIfNegative val="0"/>
          <c:cat>
            <c:multiLvlStrRef>
              <c:f>'Pivot Tables'!$A$4:$A$58</c:f>
              <c:multiLvlStrCache>
                <c:ptCount val="50"/>
                <c:lvl>
                  <c:pt idx="0">
                    <c:v>DE</c:v>
                  </c:pt>
                  <c:pt idx="1">
                    <c:v>IA</c:v>
                  </c:pt>
                  <c:pt idx="2">
                    <c:v>IL</c:v>
                  </c:pt>
                  <c:pt idx="3">
                    <c:v>IN</c:v>
                  </c:pt>
                  <c:pt idx="4">
                    <c:v>KS</c:v>
                  </c:pt>
                  <c:pt idx="5">
                    <c:v>MI</c:v>
                  </c:pt>
                  <c:pt idx="6">
                    <c:v>MN</c:v>
                  </c:pt>
                  <c:pt idx="7">
                    <c:v>MO</c:v>
                  </c:pt>
                  <c:pt idx="8">
                    <c:v>ND</c:v>
                  </c:pt>
                  <c:pt idx="9">
                    <c:v>NE</c:v>
                  </c:pt>
                  <c:pt idx="10">
                    <c:v>OH</c:v>
                  </c:pt>
                  <c:pt idx="11">
                    <c:v>SD</c:v>
                  </c:pt>
                  <c:pt idx="12">
                    <c:v>WI</c:v>
                  </c:pt>
                  <c:pt idx="13">
                    <c:v>CT</c:v>
                  </c:pt>
                  <c:pt idx="14">
                    <c:v>MA</c:v>
                  </c:pt>
                  <c:pt idx="15">
                    <c:v>ME</c:v>
                  </c:pt>
                  <c:pt idx="16">
                    <c:v>NH</c:v>
                  </c:pt>
                  <c:pt idx="17">
                    <c:v>NJ</c:v>
                  </c:pt>
                  <c:pt idx="18">
                    <c:v>NY</c:v>
                  </c:pt>
                  <c:pt idx="19">
                    <c:v>PA</c:v>
                  </c:pt>
                  <c:pt idx="20">
                    <c:v>RI</c:v>
                  </c:pt>
                  <c:pt idx="21">
                    <c:v>VT</c:v>
                  </c:pt>
                  <c:pt idx="22">
                    <c:v>AL</c:v>
                  </c:pt>
                  <c:pt idx="23">
                    <c:v>AR</c:v>
                  </c:pt>
                  <c:pt idx="24">
                    <c:v>FL</c:v>
                  </c:pt>
                  <c:pt idx="25">
                    <c:v>GA</c:v>
                  </c:pt>
                  <c:pt idx="26">
                    <c:v>KY</c:v>
                  </c:pt>
                  <c:pt idx="27">
                    <c:v>LA</c:v>
                  </c:pt>
                  <c:pt idx="28">
                    <c:v>MD</c:v>
                  </c:pt>
                  <c:pt idx="29">
                    <c:v>MS</c:v>
                  </c:pt>
                  <c:pt idx="30">
                    <c:v>NC</c:v>
                  </c:pt>
                  <c:pt idx="31">
                    <c:v>OK</c:v>
                  </c:pt>
                  <c:pt idx="32">
                    <c:v>SC</c:v>
                  </c:pt>
                  <c:pt idx="33">
                    <c:v>TN</c:v>
                  </c:pt>
                  <c:pt idx="34">
                    <c:v>TX</c:v>
                  </c:pt>
                  <c:pt idx="35">
                    <c:v>VA</c:v>
                  </c:pt>
                  <c:pt idx="36">
                    <c:v>WV</c:v>
                  </c:pt>
                  <c:pt idx="37">
                    <c:v>AK</c:v>
                  </c:pt>
                  <c:pt idx="38">
                    <c:v>AZ</c:v>
                  </c:pt>
                  <c:pt idx="39">
                    <c:v>CA</c:v>
                  </c:pt>
                  <c:pt idx="40">
                    <c:v>CO</c:v>
                  </c:pt>
                  <c:pt idx="41">
                    <c:v>HI</c:v>
                  </c:pt>
                  <c:pt idx="42">
                    <c:v>ID</c:v>
                  </c:pt>
                  <c:pt idx="43">
                    <c:v>MT</c:v>
                  </c:pt>
                  <c:pt idx="44">
                    <c:v>NM</c:v>
                  </c:pt>
                  <c:pt idx="45">
                    <c:v>NV</c:v>
                  </c:pt>
                  <c:pt idx="46">
                    <c:v>OR</c:v>
                  </c:pt>
                  <c:pt idx="47">
                    <c:v>UT</c:v>
                  </c:pt>
                  <c:pt idx="48">
                    <c:v>WA</c:v>
                  </c:pt>
                  <c:pt idx="49">
                    <c:v>WY</c:v>
                  </c:pt>
                </c:lvl>
                <c:lvl>
                  <c:pt idx="0">
                    <c:v>Midwest</c:v>
                  </c:pt>
                  <c:pt idx="13">
                    <c:v>Northeast</c:v>
                  </c:pt>
                  <c:pt idx="22">
                    <c:v>South</c:v>
                  </c:pt>
                  <c:pt idx="37">
                    <c:v>West</c:v>
                  </c:pt>
                </c:lvl>
              </c:multiLvlStrCache>
            </c:multiLvlStrRef>
          </c:cat>
          <c:val>
            <c:numRef>
              <c:f>'Pivot Tables'!$B$4:$B$58</c:f>
              <c:numCache>
                <c:formatCode>General</c:formatCode>
                <c:ptCount val="50"/>
                <c:pt idx="0">
                  <c:v>0.66259999999999997</c:v>
                </c:pt>
                <c:pt idx="1">
                  <c:v>0.77629999999999999</c:v>
                </c:pt>
                <c:pt idx="2">
                  <c:v>0.73050000000000004</c:v>
                </c:pt>
                <c:pt idx="3">
                  <c:v>0.78029999999999999</c:v>
                </c:pt>
                <c:pt idx="4">
                  <c:v>0.79330000000000001</c:v>
                </c:pt>
                <c:pt idx="5">
                  <c:v>0.76139999999999997</c:v>
                </c:pt>
                <c:pt idx="6">
                  <c:v>0.74550000000000005</c:v>
                </c:pt>
                <c:pt idx="7">
                  <c:v>0.75590000000000002</c:v>
                </c:pt>
                <c:pt idx="8">
                  <c:v>0.72760000000000002</c:v>
                </c:pt>
                <c:pt idx="9">
                  <c:v>0.71550000000000002</c:v>
                </c:pt>
                <c:pt idx="10">
                  <c:v>0.69669999999999999</c:v>
                </c:pt>
                <c:pt idx="11">
                  <c:v>0.82210000000000005</c:v>
                </c:pt>
                <c:pt idx="12">
                  <c:v>0.79369999999999996</c:v>
                </c:pt>
                <c:pt idx="13">
                  <c:v>0.65369999999999995</c:v>
                </c:pt>
                <c:pt idx="14">
                  <c:v>0.63829999999999998</c:v>
                </c:pt>
                <c:pt idx="15">
                  <c:v>0.68840000000000001</c:v>
                </c:pt>
                <c:pt idx="16">
                  <c:v>0.78029999999999999</c:v>
                </c:pt>
                <c:pt idx="17">
                  <c:v>0.76280000000000003</c:v>
                </c:pt>
                <c:pt idx="18">
                  <c:v>0.69059999999999999</c:v>
                </c:pt>
                <c:pt idx="19">
                  <c:v>0.76049999999999995</c:v>
                </c:pt>
                <c:pt idx="20">
                  <c:v>0.61750000000000005</c:v>
                </c:pt>
                <c:pt idx="21">
                  <c:v>0.58989999999999998</c:v>
                </c:pt>
                <c:pt idx="22">
                  <c:v>0.72599999999999998</c:v>
                </c:pt>
                <c:pt idx="23">
                  <c:v>0.72060000000000002</c:v>
                </c:pt>
                <c:pt idx="24">
                  <c:v>0.69940000000000002</c:v>
                </c:pt>
                <c:pt idx="25">
                  <c:v>0.70309999999999995</c:v>
                </c:pt>
                <c:pt idx="26">
                  <c:v>0.77939999999999998</c:v>
                </c:pt>
                <c:pt idx="27">
                  <c:v>0.7107</c:v>
                </c:pt>
                <c:pt idx="28">
                  <c:v>0.73839999999999995</c:v>
                </c:pt>
                <c:pt idx="29">
                  <c:v>0.72760000000000002</c:v>
                </c:pt>
                <c:pt idx="30">
                  <c:v>0.69710000000000005</c:v>
                </c:pt>
                <c:pt idx="31">
                  <c:v>0.76819999999999999</c:v>
                </c:pt>
                <c:pt idx="32">
                  <c:v>0.74</c:v>
                </c:pt>
                <c:pt idx="33">
                  <c:v>0.69830000000000003</c:v>
                </c:pt>
                <c:pt idx="34">
                  <c:v>0.75549999999999995</c:v>
                </c:pt>
                <c:pt idx="35">
                  <c:v>0.73580000000000001</c:v>
                </c:pt>
                <c:pt idx="36">
                  <c:v>0.83399999999999996</c:v>
                </c:pt>
                <c:pt idx="37">
                  <c:v>0.76370000000000005</c:v>
                </c:pt>
                <c:pt idx="38">
                  <c:v>0.82989999999999997</c:v>
                </c:pt>
                <c:pt idx="39">
                  <c:v>0.66569999999999996</c:v>
                </c:pt>
                <c:pt idx="40">
                  <c:v>0.80049999999999999</c:v>
                </c:pt>
                <c:pt idx="41">
                  <c:v>0.78510000000000002</c:v>
                </c:pt>
                <c:pt idx="42">
                  <c:v>0.80269999999999997</c:v>
                </c:pt>
                <c:pt idx="43">
                  <c:v>0.83320000000000005</c:v>
                </c:pt>
                <c:pt idx="44">
                  <c:v>0.69569999999999999</c:v>
                </c:pt>
                <c:pt idx="45">
                  <c:v>0.88400000000000001</c:v>
                </c:pt>
                <c:pt idx="46">
                  <c:v>0.7913</c:v>
                </c:pt>
                <c:pt idx="47">
                  <c:v>0.81869999999999998</c:v>
                </c:pt>
                <c:pt idx="48">
                  <c:v>0.79679999999999995</c:v>
                </c:pt>
                <c:pt idx="49">
                  <c:v>0.97009999999999996</c:v>
                </c:pt>
              </c:numCache>
            </c:numRef>
          </c:val>
          <c:extLst>
            <c:ext xmlns:c16="http://schemas.microsoft.com/office/drawing/2014/chart" uri="{C3380CC4-5D6E-409C-BE32-E72D297353CC}">
              <c16:uniqueId val="{00000000-2B1C-4DCD-AB22-252320B5FB56}"/>
            </c:ext>
          </c:extLst>
        </c:ser>
        <c:ser>
          <c:idx val="1"/>
          <c:order val="1"/>
          <c:tx>
            <c:strRef>
              <c:f>'Pivot Tables'!$C$3</c:f>
              <c:strCache>
                <c:ptCount val="1"/>
                <c:pt idx="0">
                  <c:v>Sum of Graduation Rate</c:v>
                </c:pt>
              </c:strCache>
            </c:strRef>
          </c:tx>
          <c:spPr>
            <a:solidFill>
              <a:schemeClr val="accent2"/>
            </a:solidFill>
            <a:ln>
              <a:noFill/>
            </a:ln>
            <a:effectLst>
              <a:outerShdw blurRad="57150" dist="19050" dir="5400000" algn="ctr" rotWithShape="0">
                <a:srgbClr val="000000">
                  <a:alpha val="63000"/>
                </a:srgbClr>
              </a:outerShdw>
            </a:effectLst>
          </c:spPr>
          <c:invertIfNegative val="0"/>
          <c:cat>
            <c:multiLvlStrRef>
              <c:f>'Pivot Tables'!$A$4:$A$58</c:f>
              <c:multiLvlStrCache>
                <c:ptCount val="50"/>
                <c:lvl>
                  <c:pt idx="0">
                    <c:v>DE</c:v>
                  </c:pt>
                  <c:pt idx="1">
                    <c:v>IA</c:v>
                  </c:pt>
                  <c:pt idx="2">
                    <c:v>IL</c:v>
                  </c:pt>
                  <c:pt idx="3">
                    <c:v>IN</c:v>
                  </c:pt>
                  <c:pt idx="4">
                    <c:v>KS</c:v>
                  </c:pt>
                  <c:pt idx="5">
                    <c:v>MI</c:v>
                  </c:pt>
                  <c:pt idx="6">
                    <c:v>MN</c:v>
                  </c:pt>
                  <c:pt idx="7">
                    <c:v>MO</c:v>
                  </c:pt>
                  <c:pt idx="8">
                    <c:v>ND</c:v>
                  </c:pt>
                  <c:pt idx="9">
                    <c:v>NE</c:v>
                  </c:pt>
                  <c:pt idx="10">
                    <c:v>OH</c:v>
                  </c:pt>
                  <c:pt idx="11">
                    <c:v>SD</c:v>
                  </c:pt>
                  <c:pt idx="12">
                    <c:v>WI</c:v>
                  </c:pt>
                  <c:pt idx="13">
                    <c:v>CT</c:v>
                  </c:pt>
                  <c:pt idx="14">
                    <c:v>MA</c:v>
                  </c:pt>
                  <c:pt idx="15">
                    <c:v>ME</c:v>
                  </c:pt>
                  <c:pt idx="16">
                    <c:v>NH</c:v>
                  </c:pt>
                  <c:pt idx="17">
                    <c:v>NJ</c:v>
                  </c:pt>
                  <c:pt idx="18">
                    <c:v>NY</c:v>
                  </c:pt>
                  <c:pt idx="19">
                    <c:v>PA</c:v>
                  </c:pt>
                  <c:pt idx="20">
                    <c:v>RI</c:v>
                  </c:pt>
                  <c:pt idx="21">
                    <c:v>VT</c:v>
                  </c:pt>
                  <c:pt idx="22">
                    <c:v>AL</c:v>
                  </c:pt>
                  <c:pt idx="23">
                    <c:v>AR</c:v>
                  </c:pt>
                  <c:pt idx="24">
                    <c:v>FL</c:v>
                  </c:pt>
                  <c:pt idx="25">
                    <c:v>GA</c:v>
                  </c:pt>
                  <c:pt idx="26">
                    <c:v>KY</c:v>
                  </c:pt>
                  <c:pt idx="27">
                    <c:v>LA</c:v>
                  </c:pt>
                  <c:pt idx="28">
                    <c:v>MD</c:v>
                  </c:pt>
                  <c:pt idx="29">
                    <c:v>MS</c:v>
                  </c:pt>
                  <c:pt idx="30">
                    <c:v>NC</c:v>
                  </c:pt>
                  <c:pt idx="31">
                    <c:v>OK</c:v>
                  </c:pt>
                  <c:pt idx="32">
                    <c:v>SC</c:v>
                  </c:pt>
                  <c:pt idx="33">
                    <c:v>TN</c:v>
                  </c:pt>
                  <c:pt idx="34">
                    <c:v>TX</c:v>
                  </c:pt>
                  <c:pt idx="35">
                    <c:v>VA</c:v>
                  </c:pt>
                  <c:pt idx="36">
                    <c:v>WV</c:v>
                  </c:pt>
                  <c:pt idx="37">
                    <c:v>AK</c:v>
                  </c:pt>
                  <c:pt idx="38">
                    <c:v>AZ</c:v>
                  </c:pt>
                  <c:pt idx="39">
                    <c:v>CA</c:v>
                  </c:pt>
                  <c:pt idx="40">
                    <c:v>CO</c:v>
                  </c:pt>
                  <c:pt idx="41">
                    <c:v>HI</c:v>
                  </c:pt>
                  <c:pt idx="42">
                    <c:v>ID</c:v>
                  </c:pt>
                  <c:pt idx="43">
                    <c:v>MT</c:v>
                  </c:pt>
                  <c:pt idx="44">
                    <c:v>NM</c:v>
                  </c:pt>
                  <c:pt idx="45">
                    <c:v>NV</c:v>
                  </c:pt>
                  <c:pt idx="46">
                    <c:v>OR</c:v>
                  </c:pt>
                  <c:pt idx="47">
                    <c:v>UT</c:v>
                  </c:pt>
                  <c:pt idx="48">
                    <c:v>WA</c:v>
                  </c:pt>
                  <c:pt idx="49">
                    <c:v>WY</c:v>
                  </c:pt>
                </c:lvl>
                <c:lvl>
                  <c:pt idx="0">
                    <c:v>Midwest</c:v>
                  </c:pt>
                  <c:pt idx="13">
                    <c:v>Northeast</c:v>
                  </c:pt>
                  <c:pt idx="22">
                    <c:v>South</c:v>
                  </c:pt>
                  <c:pt idx="37">
                    <c:v>West</c:v>
                  </c:pt>
                </c:lvl>
              </c:multiLvlStrCache>
            </c:multiLvlStrRef>
          </c:cat>
          <c:val>
            <c:numRef>
              <c:f>'Pivot Tables'!$C$4:$C$58</c:f>
              <c:numCache>
                <c:formatCode>General</c:formatCode>
                <c:ptCount val="50"/>
                <c:pt idx="0">
                  <c:v>0.45</c:v>
                </c:pt>
                <c:pt idx="1">
                  <c:v>0.58489999999999998</c:v>
                </c:pt>
                <c:pt idx="2">
                  <c:v>0.4798</c:v>
                </c:pt>
                <c:pt idx="3">
                  <c:v>0.55979999999999996</c:v>
                </c:pt>
                <c:pt idx="4">
                  <c:v>0.44950000000000001</c:v>
                </c:pt>
                <c:pt idx="5">
                  <c:v>0.49070000000000003</c:v>
                </c:pt>
                <c:pt idx="6">
                  <c:v>0.505</c:v>
                </c:pt>
                <c:pt idx="7">
                  <c:v>0.52039999999999997</c:v>
                </c:pt>
                <c:pt idx="8">
                  <c:v>0.43409999999999999</c:v>
                </c:pt>
                <c:pt idx="9">
                  <c:v>0.55220000000000002</c:v>
                </c:pt>
                <c:pt idx="10">
                  <c:v>0.49299999999999999</c:v>
                </c:pt>
                <c:pt idx="11">
                  <c:v>0.4778</c:v>
                </c:pt>
                <c:pt idx="12">
                  <c:v>0.54820000000000002</c:v>
                </c:pt>
                <c:pt idx="13">
                  <c:v>0.65029999999999999</c:v>
                </c:pt>
                <c:pt idx="14">
                  <c:v>0.59160000000000001</c:v>
                </c:pt>
                <c:pt idx="15">
                  <c:v>0.51259999999999994</c:v>
                </c:pt>
                <c:pt idx="16">
                  <c:v>0.51380000000000003</c:v>
                </c:pt>
                <c:pt idx="17">
                  <c:v>0.52139999999999997</c:v>
                </c:pt>
                <c:pt idx="18">
                  <c:v>0.55249999999999999</c:v>
                </c:pt>
                <c:pt idx="19">
                  <c:v>0.55069999999999997</c:v>
                </c:pt>
                <c:pt idx="20">
                  <c:v>0.68579999999999997</c:v>
                </c:pt>
                <c:pt idx="21">
                  <c:v>0.57730000000000004</c:v>
                </c:pt>
                <c:pt idx="22">
                  <c:v>0.38419999999999999</c:v>
                </c:pt>
                <c:pt idx="23">
                  <c:v>0.4153</c:v>
                </c:pt>
                <c:pt idx="24">
                  <c:v>0.53979999999999995</c:v>
                </c:pt>
                <c:pt idx="25">
                  <c:v>0.42109999999999997</c:v>
                </c:pt>
                <c:pt idx="26">
                  <c:v>0.45550000000000002</c:v>
                </c:pt>
                <c:pt idx="27">
                  <c:v>0.44309999999999999</c:v>
                </c:pt>
                <c:pt idx="28">
                  <c:v>0.48770000000000002</c:v>
                </c:pt>
                <c:pt idx="29">
                  <c:v>0.43309999999999998</c:v>
                </c:pt>
                <c:pt idx="30">
                  <c:v>0.43859999999999999</c:v>
                </c:pt>
                <c:pt idx="31">
                  <c:v>0.46139999999999998</c:v>
                </c:pt>
                <c:pt idx="32">
                  <c:v>0.40150000000000002</c:v>
                </c:pt>
                <c:pt idx="33">
                  <c:v>0.55110000000000003</c:v>
                </c:pt>
                <c:pt idx="34">
                  <c:v>0.45319999999999999</c:v>
                </c:pt>
                <c:pt idx="35">
                  <c:v>0.51429999999999998</c:v>
                </c:pt>
                <c:pt idx="36">
                  <c:v>0.49890000000000001</c:v>
                </c:pt>
                <c:pt idx="37">
                  <c:v>0.44779999999999998</c:v>
                </c:pt>
                <c:pt idx="38">
                  <c:v>0.38800000000000001</c:v>
                </c:pt>
                <c:pt idx="39">
                  <c:v>0.52500000000000002</c:v>
                </c:pt>
                <c:pt idx="40">
                  <c:v>0.48699999999999999</c:v>
                </c:pt>
                <c:pt idx="41">
                  <c:v>0.40939999999999999</c:v>
                </c:pt>
                <c:pt idx="42">
                  <c:v>0.50600000000000001</c:v>
                </c:pt>
                <c:pt idx="43">
                  <c:v>0.37359999999999999</c:v>
                </c:pt>
                <c:pt idx="44">
                  <c:v>0.33300000000000002</c:v>
                </c:pt>
                <c:pt idx="45">
                  <c:v>0.47820000000000001</c:v>
                </c:pt>
                <c:pt idx="46">
                  <c:v>0.50149999999999995</c:v>
                </c:pt>
                <c:pt idx="47">
                  <c:v>0.55000000000000004</c:v>
                </c:pt>
                <c:pt idx="48">
                  <c:v>0.49130000000000001</c:v>
                </c:pt>
                <c:pt idx="49">
                  <c:v>0.43440000000000001</c:v>
                </c:pt>
              </c:numCache>
            </c:numRef>
          </c:val>
          <c:extLst>
            <c:ext xmlns:c16="http://schemas.microsoft.com/office/drawing/2014/chart" uri="{C3380CC4-5D6E-409C-BE32-E72D297353CC}">
              <c16:uniqueId val="{00000001-2B1C-4DCD-AB22-252320B5FB56}"/>
            </c:ext>
          </c:extLst>
        </c:ser>
        <c:dLbls>
          <c:showLegendKey val="0"/>
          <c:showVal val="0"/>
          <c:showCatName val="0"/>
          <c:showSerName val="0"/>
          <c:showPercent val="0"/>
          <c:showBubbleSize val="0"/>
        </c:dLbls>
        <c:gapWidth val="75"/>
        <c:overlap val="-25"/>
        <c:axId val="753695984"/>
        <c:axId val="753694544"/>
      </c:barChart>
      <c:catAx>
        <c:axId val="75369598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800" b="1" i="0" u="none" strike="noStrike" kern="1200" baseline="0">
                <a:solidFill>
                  <a:schemeClr val="bg1"/>
                </a:solidFill>
                <a:latin typeface="+mn-lt"/>
                <a:ea typeface="+mn-ea"/>
                <a:cs typeface="+mn-cs"/>
              </a:defRPr>
            </a:pPr>
            <a:endParaRPr lang="en-US"/>
          </a:p>
        </c:txPr>
        <c:crossAx val="753694544"/>
        <c:crosses val="autoZero"/>
        <c:auto val="1"/>
        <c:lblAlgn val="ctr"/>
        <c:lblOffset val="100"/>
        <c:noMultiLvlLbl val="0"/>
      </c:catAx>
      <c:valAx>
        <c:axId val="753694544"/>
        <c:scaling>
          <c:orientation val="minMax"/>
          <c:min val="0.2"/>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lt1">
                    <a:lumMod val="85000"/>
                  </a:schemeClr>
                </a:solidFill>
                <a:latin typeface="+mn-lt"/>
                <a:ea typeface="+mn-ea"/>
                <a:cs typeface="+mn-cs"/>
              </a:defRPr>
            </a:pPr>
            <a:endParaRPr lang="en-US"/>
          </a:p>
        </c:txPr>
        <c:crossAx val="753695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bg1"/>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10 Dashboard.xlsm]Pivot Tables!Crime Rate</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Sum of Crime Index Per 100K</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pivotFmt>
      <c:pivotFmt>
        <c:idx val="6"/>
      </c:pivotFmt>
      <c:pivotFmt>
        <c:idx val="7"/>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ln w="34925" cap="rnd">
            <a:solidFill>
              <a:schemeClr val="accent1"/>
            </a:solidFill>
            <a:round/>
          </a:ln>
          <a:effectLst>
            <a:outerShdw blurRad="57150" dist="19050" dir="5400000" algn="ctr" rotWithShape="0">
              <a:srgbClr val="000000">
                <a:alpha val="63000"/>
              </a:srgbClr>
            </a:outerShdw>
          </a:effectLst>
        </c:spPr>
        <c:marker>
          <c:symbol val="circle"/>
          <c:size val="6"/>
        </c:marker>
        <c:dLbl>
          <c:idx val="0"/>
          <c:layout>
            <c:manualLayout>
              <c:x val="1.1971125585599377E-2"/>
              <c:y val="-0.10239473376399164"/>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ln w="34925" cap="rnd">
            <a:solidFill>
              <a:schemeClr val="accent1"/>
            </a:solidFill>
            <a:round/>
          </a:ln>
          <a:effectLst>
            <a:outerShdw blurRad="57150" dist="19050" dir="5400000" algn="ctr" rotWithShape="0">
              <a:srgbClr val="000000">
                <a:alpha val="63000"/>
              </a:srgbClr>
            </a:outerShdw>
          </a:effectLst>
        </c:spPr>
        <c:marker>
          <c:symbol val="circle"/>
          <c:size val="6"/>
        </c:marker>
      </c:pivotFmt>
      <c:pivotFmt>
        <c:idx val="10"/>
        <c:spPr>
          <a:ln w="34925" cap="rnd">
            <a:solidFill>
              <a:schemeClr val="accent1"/>
            </a:solidFill>
            <a:round/>
          </a:ln>
          <a:effectLst>
            <a:outerShdw blurRad="57150" dist="19050" dir="5400000" algn="ctr" rotWithShape="0">
              <a:srgbClr val="000000">
                <a:alpha val="63000"/>
              </a:srgbClr>
            </a:outerShdw>
          </a:effectLst>
        </c:spPr>
        <c:marker>
          <c:symbol val="circle"/>
          <c:size val="6"/>
        </c:marker>
      </c:pivotFmt>
      <c:pivotFmt>
        <c:idx val="11"/>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dLbl>
          <c:idx val="0"/>
          <c:layout>
            <c:manualLayout>
              <c:x val="-9.1544027413668114E-2"/>
              <c:y val="-7.3370739681399344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dLbl>
          <c:idx val="0"/>
          <c:layout>
            <c:manualLayout>
              <c:x val="-3.558726209839376E-2"/>
              <c:y val="0.1110899626471822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dLbl>
          <c:idx val="0"/>
          <c:layout>
            <c:manualLayout>
              <c:x val="3.6429724965938777E-2"/>
              <c:y val="-8.0156744554494286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dLbl>
          <c:idx val="0"/>
          <c:layout>
            <c:manualLayout>
              <c:x val="-4.3740128558506876E-2"/>
              <c:y val="3.9928397176790961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dLbl>
          <c:idx val="0"/>
          <c:layout>
            <c:manualLayout>
              <c:x val="3.2353291735882223E-2"/>
              <c:y val="2.8809402572042331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dLbl>
          <c:idx val="0"/>
          <c:layout>
            <c:manualLayout>
              <c:x val="3.5070913889253257E-2"/>
              <c:y val="-2.4561771530751113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dLbl>
          <c:idx val="0"/>
          <c:layout>
            <c:manualLayout>
              <c:x val="-5.1892995018619992E-2"/>
              <c:y val="-9.1275739159242919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dLbl>
          <c:idx val="0"/>
          <c:layout>
            <c:manualLayout>
              <c:x val="2.2841614199083583E-2"/>
              <c:y val="-7.5709146712594821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dLbl>
          <c:idx val="0"/>
          <c:layout>
            <c:manualLayout>
              <c:x val="3.8182591254863098E-3"/>
              <c:y val="-8.2380543475444087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dLbl>
          <c:idx val="0"/>
          <c:layout>
            <c:manualLayout>
              <c:x val="-3.15108288683374E-2"/>
              <c:y val="7.1061582070087143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dLbl>
          <c:idx val="0"/>
          <c:layout>
            <c:manualLayout>
              <c:x val="-3.1510828868337198E-2"/>
              <c:y val="4.6599793939640102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dLbl>
          <c:idx val="0"/>
          <c:layout>
            <c:manualLayout>
              <c:x val="-3.2869639945022719E-2"/>
              <c:y val="5.5494989623439052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dLbl>
          <c:idx val="0"/>
          <c:layout>
            <c:manualLayout>
              <c:x val="-3.9663695328450418E-2"/>
              <c:y val="6.2166386386288151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dLbl>
          <c:idx val="0"/>
          <c:layout>
            <c:manualLayout>
              <c:x val="3.8182591254863098E-3"/>
              <c:y val="-3.5680766135499746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Tables'!$F$3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dPt>
            <c:idx val="0"/>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bubble3D val="0"/>
            <c:spPr>
              <a:ln w="34925" cap="rnd">
                <a:solidFill>
                  <a:schemeClr val="accent1"/>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4E0C-471F-8197-4BFB3737A058}"/>
              </c:ext>
            </c:extLst>
          </c:dPt>
          <c:dPt>
            <c:idx val="2"/>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bubble3D val="0"/>
            <c:spPr>
              <a:ln w="34925" cap="rnd">
                <a:solidFill>
                  <a:schemeClr val="accent1"/>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1669-4742-8E9F-5C7FD517DAF6}"/>
              </c:ext>
            </c:extLst>
          </c:dPt>
          <c:dPt>
            <c:idx val="8"/>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bubble3D val="0"/>
            <c:spPr>
              <a:ln w="34925" cap="rnd">
                <a:solidFill>
                  <a:schemeClr val="accent1"/>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8-1669-4742-8E9F-5C7FD517DAF6}"/>
              </c:ext>
            </c:extLst>
          </c:dPt>
          <c:dPt>
            <c:idx val="10"/>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bubble3D val="0"/>
            <c:spPr>
              <a:ln w="34925" cap="rnd">
                <a:solidFill>
                  <a:schemeClr val="accent1"/>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1669-4742-8E9F-5C7FD517DAF6}"/>
              </c:ext>
            </c:extLst>
          </c:dPt>
          <c:dPt>
            <c:idx val="13"/>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bubble3D val="0"/>
            <c:spPr>
              <a:ln w="34925" cap="rnd">
                <a:solidFill>
                  <a:schemeClr val="accent1"/>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20A-4F0F-ADE3-54EB1AE36D55}"/>
              </c:ext>
            </c:extLst>
          </c:dPt>
          <c:dPt>
            <c:idx val="15"/>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bubble3D val="0"/>
            <c:spPr>
              <a:ln w="34925" cap="rnd">
                <a:solidFill>
                  <a:schemeClr val="accent1"/>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1669-4742-8E9F-5C7FD517DAF6}"/>
              </c:ext>
            </c:extLst>
          </c:dPt>
          <c:dPt>
            <c:idx val="16"/>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bubble3D val="0"/>
            <c:spPr>
              <a:ln w="34925" cap="rnd">
                <a:solidFill>
                  <a:schemeClr val="accent1"/>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A-1669-4742-8E9F-5C7FD517DAF6}"/>
              </c:ext>
            </c:extLst>
          </c:dPt>
          <c:dPt>
            <c:idx val="21"/>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bubble3D val="0"/>
            <c:spPr>
              <a:ln w="34925" cap="rnd">
                <a:solidFill>
                  <a:schemeClr val="accent1"/>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1669-4742-8E9F-5C7FD517DAF6}"/>
              </c:ext>
            </c:extLst>
          </c:dPt>
          <c:dPt>
            <c:idx val="24"/>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bubble3D val="0"/>
            <c:spPr>
              <a:ln w="34925" cap="rnd">
                <a:solidFill>
                  <a:schemeClr val="accent1"/>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2-1669-4742-8E9F-5C7FD517DAF6}"/>
              </c:ext>
            </c:extLst>
          </c:dPt>
          <c:dPt>
            <c:idx val="28"/>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bubble3D val="0"/>
            <c:spPr>
              <a:ln w="34925" cap="rnd">
                <a:solidFill>
                  <a:schemeClr val="accent1"/>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1669-4742-8E9F-5C7FD517DAF6}"/>
              </c:ext>
            </c:extLst>
          </c:dPt>
          <c:dPt>
            <c:idx val="31"/>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bubble3D val="0"/>
            <c:spPr>
              <a:ln w="34925" cap="rnd">
                <a:solidFill>
                  <a:schemeClr val="accent1"/>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C-1669-4742-8E9F-5C7FD517DAF6}"/>
              </c:ext>
            </c:extLst>
          </c:dPt>
          <c:dPt>
            <c:idx val="32"/>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bubble3D val="0"/>
            <c:spPr>
              <a:ln w="34925" cap="rnd">
                <a:solidFill>
                  <a:schemeClr val="accent1"/>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1669-4742-8E9F-5C7FD517DAF6}"/>
              </c:ext>
            </c:extLst>
          </c:dPt>
          <c:dPt>
            <c:idx val="36"/>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bubble3D val="0"/>
            <c:spPr>
              <a:ln w="34925" cap="rnd">
                <a:solidFill>
                  <a:schemeClr val="accent1"/>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E-1669-4742-8E9F-5C7FD517DAF6}"/>
              </c:ext>
            </c:extLst>
          </c:dPt>
          <c:dPt>
            <c:idx val="37"/>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bubble3D val="0"/>
            <c:spPr>
              <a:ln w="34925" cap="rnd">
                <a:solidFill>
                  <a:schemeClr val="accent1"/>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5810-4386-A864-3CE1DC40ECB9}"/>
              </c:ext>
            </c:extLst>
          </c:dPt>
          <c:dPt>
            <c:idx val="39"/>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bubble3D val="0"/>
            <c:spPr>
              <a:ln w="34925" cap="rnd">
                <a:solidFill>
                  <a:schemeClr val="accent1"/>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1669-4742-8E9F-5C7FD517DAF6}"/>
              </c:ext>
            </c:extLst>
          </c:dPt>
          <c:dPt>
            <c:idx val="45"/>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bubble3D val="0"/>
            <c:spPr>
              <a:ln w="34925" cap="rnd">
                <a:solidFill>
                  <a:schemeClr val="accent1"/>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1669-4742-8E9F-5C7FD517DAF6}"/>
              </c:ext>
            </c:extLst>
          </c:dPt>
          <c:dPt>
            <c:idx val="47"/>
            <c:marker>
              <c:symbol val="circle"/>
              <c:size val="6"/>
              <c:spPr>
                <a:solidFill>
                  <a:schemeClr val="accent2"/>
                </a:solidFill>
                <a:ln w="9525">
                  <a:solidFill>
                    <a:schemeClr val="accent1"/>
                  </a:solidFill>
                  <a:round/>
                </a:ln>
                <a:effectLst>
                  <a:outerShdw blurRad="57150" dist="19050" dir="5400000" algn="ctr" rotWithShape="0">
                    <a:srgbClr val="000000">
                      <a:alpha val="63000"/>
                    </a:srgbClr>
                  </a:outerShdw>
                </a:effectLst>
              </c:spPr>
            </c:marker>
            <c:bubble3D val="0"/>
            <c:spPr>
              <a:ln w="34925" cap="rnd">
                <a:solidFill>
                  <a:schemeClr val="accent1"/>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0-1669-4742-8E9F-5C7FD517DAF6}"/>
              </c:ext>
            </c:extLst>
          </c:dPt>
          <c:dLbls>
            <c:dLbl>
              <c:idx val="2"/>
              <c:layout>
                <c:manualLayout>
                  <c:x val="-3.558726209839376E-2"/>
                  <c:y val="0.1110899626471822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669-4742-8E9F-5C7FD517DAF6}"/>
                </c:ext>
              </c:extLst>
            </c:dLbl>
            <c:dLbl>
              <c:idx val="8"/>
              <c:layout>
                <c:manualLayout>
                  <c:x val="3.6429724965938777E-2"/>
                  <c:y val="-8.015674455449428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669-4742-8E9F-5C7FD517DAF6}"/>
                </c:ext>
              </c:extLst>
            </c:dLbl>
            <c:dLbl>
              <c:idx val="10"/>
              <c:layout>
                <c:manualLayout>
                  <c:x val="-4.3740128558506876E-2"/>
                  <c:y val="3.992839717679096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669-4742-8E9F-5C7FD517DAF6}"/>
                </c:ext>
              </c:extLst>
            </c:dLbl>
            <c:dLbl>
              <c:idx val="13"/>
              <c:layout>
                <c:manualLayout>
                  <c:x val="1.1971125585599377E-2"/>
                  <c:y val="-0.10239473376399164"/>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20A-4F0F-ADE3-54EB1AE36D55}"/>
                </c:ext>
              </c:extLst>
            </c:dLbl>
            <c:dLbl>
              <c:idx val="15"/>
              <c:layout>
                <c:manualLayout>
                  <c:x val="-9.1544027413668114E-2"/>
                  <c:y val="-7.337073968139934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669-4742-8E9F-5C7FD517DAF6}"/>
                </c:ext>
              </c:extLst>
            </c:dLbl>
            <c:dLbl>
              <c:idx val="16"/>
              <c:layout>
                <c:manualLayout>
                  <c:x val="3.2353291735882223E-2"/>
                  <c:y val="2.880940257204233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1669-4742-8E9F-5C7FD517DAF6}"/>
                </c:ext>
              </c:extLst>
            </c:dLbl>
            <c:dLbl>
              <c:idx val="21"/>
              <c:layout>
                <c:manualLayout>
                  <c:x val="3.5070913889253257E-2"/>
                  <c:y val="-2.456177153075111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1669-4742-8E9F-5C7FD517DAF6}"/>
                </c:ext>
              </c:extLst>
            </c:dLbl>
            <c:dLbl>
              <c:idx val="24"/>
              <c:layout>
                <c:manualLayout>
                  <c:x val="-3.9663695328450418E-2"/>
                  <c:y val="6.216638638628815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1669-4742-8E9F-5C7FD517DAF6}"/>
                </c:ext>
              </c:extLst>
            </c:dLbl>
            <c:dLbl>
              <c:idx val="28"/>
              <c:layout>
                <c:manualLayout>
                  <c:x val="3.8182591254863098E-3"/>
                  <c:y val="-3.568076613549974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1669-4742-8E9F-5C7FD517DAF6}"/>
                </c:ext>
              </c:extLst>
            </c:dLbl>
            <c:dLbl>
              <c:idx val="31"/>
              <c:layout>
                <c:manualLayout>
                  <c:x val="-5.1892995018619992E-2"/>
                  <c:y val="-9.12757391592429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1669-4742-8E9F-5C7FD517DAF6}"/>
                </c:ext>
              </c:extLst>
            </c:dLbl>
            <c:dLbl>
              <c:idx val="32"/>
              <c:layout>
                <c:manualLayout>
                  <c:x val="2.2841614199083583E-2"/>
                  <c:y val="-7.57091467125948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1669-4742-8E9F-5C7FD517DAF6}"/>
                </c:ext>
              </c:extLst>
            </c:dLbl>
            <c:dLbl>
              <c:idx val="36"/>
              <c:layout>
                <c:manualLayout>
                  <c:x val="3.8182591254863098E-3"/>
                  <c:y val="-8.238054347544408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1669-4742-8E9F-5C7FD517DAF6}"/>
                </c:ext>
              </c:extLst>
            </c:dLbl>
            <c:dLbl>
              <c:idx val="39"/>
              <c:layout>
                <c:manualLayout>
                  <c:x val="-3.2869639945022719E-2"/>
                  <c:y val="5.549498962343905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1669-4742-8E9F-5C7FD517DAF6}"/>
                </c:ext>
              </c:extLst>
            </c:dLbl>
            <c:dLbl>
              <c:idx val="45"/>
              <c:layout>
                <c:manualLayout>
                  <c:x val="-3.15108288683374E-2"/>
                  <c:y val="7.106158207008714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1669-4742-8E9F-5C7FD517DAF6}"/>
                </c:ext>
              </c:extLst>
            </c:dLbl>
            <c:dLbl>
              <c:idx val="47"/>
              <c:layout>
                <c:manualLayout>
                  <c:x val="-3.1510828868337198E-2"/>
                  <c:y val="4.659979393964010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1669-4742-8E9F-5C7FD517DAF6}"/>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'Pivot Tables'!$E$4:$E$58</c:f>
              <c:multiLvlStrCache>
                <c:ptCount val="50"/>
                <c:lvl>
                  <c:pt idx="0">
                    <c:v>DE</c:v>
                  </c:pt>
                  <c:pt idx="1">
                    <c:v>IA</c:v>
                  </c:pt>
                  <c:pt idx="2">
                    <c:v>IL</c:v>
                  </c:pt>
                  <c:pt idx="3">
                    <c:v>IN</c:v>
                  </c:pt>
                  <c:pt idx="4">
                    <c:v>KS</c:v>
                  </c:pt>
                  <c:pt idx="5">
                    <c:v>MI</c:v>
                  </c:pt>
                  <c:pt idx="6">
                    <c:v>MN</c:v>
                  </c:pt>
                  <c:pt idx="7">
                    <c:v>MO</c:v>
                  </c:pt>
                  <c:pt idx="8">
                    <c:v>ND</c:v>
                  </c:pt>
                  <c:pt idx="9">
                    <c:v>NE</c:v>
                  </c:pt>
                  <c:pt idx="10">
                    <c:v>OH</c:v>
                  </c:pt>
                  <c:pt idx="11">
                    <c:v>SD</c:v>
                  </c:pt>
                  <c:pt idx="12">
                    <c:v>WI</c:v>
                  </c:pt>
                  <c:pt idx="13">
                    <c:v>CT</c:v>
                  </c:pt>
                  <c:pt idx="14">
                    <c:v>MA</c:v>
                  </c:pt>
                  <c:pt idx="15">
                    <c:v>ME</c:v>
                  </c:pt>
                  <c:pt idx="16">
                    <c:v>NH</c:v>
                  </c:pt>
                  <c:pt idx="17">
                    <c:v>NJ</c:v>
                  </c:pt>
                  <c:pt idx="18">
                    <c:v>NY</c:v>
                  </c:pt>
                  <c:pt idx="19">
                    <c:v>PA</c:v>
                  </c:pt>
                  <c:pt idx="20">
                    <c:v>RI</c:v>
                  </c:pt>
                  <c:pt idx="21">
                    <c:v>VT</c:v>
                  </c:pt>
                  <c:pt idx="22">
                    <c:v>AL</c:v>
                  </c:pt>
                  <c:pt idx="23">
                    <c:v>AR</c:v>
                  </c:pt>
                  <c:pt idx="24">
                    <c:v>FL</c:v>
                  </c:pt>
                  <c:pt idx="25">
                    <c:v>GA</c:v>
                  </c:pt>
                  <c:pt idx="26">
                    <c:v>KY</c:v>
                  </c:pt>
                  <c:pt idx="27">
                    <c:v>LA</c:v>
                  </c:pt>
                  <c:pt idx="28">
                    <c:v>MD</c:v>
                  </c:pt>
                  <c:pt idx="29">
                    <c:v>MS</c:v>
                  </c:pt>
                  <c:pt idx="30">
                    <c:v>NC</c:v>
                  </c:pt>
                  <c:pt idx="31">
                    <c:v>OK</c:v>
                  </c:pt>
                  <c:pt idx="32">
                    <c:v>SC</c:v>
                  </c:pt>
                  <c:pt idx="33">
                    <c:v>TN</c:v>
                  </c:pt>
                  <c:pt idx="34">
                    <c:v>TX</c:v>
                  </c:pt>
                  <c:pt idx="35">
                    <c:v>VA</c:v>
                  </c:pt>
                  <c:pt idx="36">
                    <c:v>WV</c:v>
                  </c:pt>
                  <c:pt idx="37">
                    <c:v>AK</c:v>
                  </c:pt>
                  <c:pt idx="38">
                    <c:v>AZ</c:v>
                  </c:pt>
                  <c:pt idx="39">
                    <c:v>CA</c:v>
                  </c:pt>
                  <c:pt idx="40">
                    <c:v>CO</c:v>
                  </c:pt>
                  <c:pt idx="41">
                    <c:v>HI</c:v>
                  </c:pt>
                  <c:pt idx="42">
                    <c:v>ID</c:v>
                  </c:pt>
                  <c:pt idx="43">
                    <c:v>MT</c:v>
                  </c:pt>
                  <c:pt idx="44">
                    <c:v>NM</c:v>
                  </c:pt>
                  <c:pt idx="45">
                    <c:v>NV</c:v>
                  </c:pt>
                  <c:pt idx="46">
                    <c:v>OR</c:v>
                  </c:pt>
                  <c:pt idx="47">
                    <c:v>UT</c:v>
                  </c:pt>
                  <c:pt idx="48">
                    <c:v>WA</c:v>
                  </c:pt>
                  <c:pt idx="49">
                    <c:v>WY</c:v>
                  </c:pt>
                </c:lvl>
                <c:lvl>
                  <c:pt idx="0">
                    <c:v>Midwest</c:v>
                  </c:pt>
                  <c:pt idx="13">
                    <c:v>Northeast</c:v>
                  </c:pt>
                  <c:pt idx="22">
                    <c:v>South</c:v>
                  </c:pt>
                  <c:pt idx="37">
                    <c:v>West</c:v>
                  </c:pt>
                </c:lvl>
              </c:multiLvlStrCache>
            </c:multiLvlStrRef>
          </c:cat>
          <c:val>
            <c:numRef>
              <c:f>'Pivot Tables'!$F$4:$F$58</c:f>
              <c:numCache>
                <c:formatCode>General</c:formatCode>
                <c:ptCount val="50"/>
                <c:pt idx="0">
                  <c:v>4355</c:v>
                </c:pt>
                <c:pt idx="1">
                  <c:v>3700</c:v>
                </c:pt>
                <c:pt idx="2">
                  <c:v>3545</c:v>
                </c:pt>
                <c:pt idx="3">
                  <c:v>3924</c:v>
                </c:pt>
                <c:pt idx="4">
                  <c:v>4823</c:v>
                </c:pt>
                <c:pt idx="5">
                  <c:v>3200</c:v>
                </c:pt>
                <c:pt idx="6">
                  <c:v>4527</c:v>
                </c:pt>
                <c:pt idx="7">
                  <c:v>5605</c:v>
                </c:pt>
                <c:pt idx="8">
                  <c:v>4577</c:v>
                </c:pt>
                <c:pt idx="9">
                  <c:v>4152</c:v>
                </c:pt>
                <c:pt idx="10">
                  <c:v>4009</c:v>
                </c:pt>
                <c:pt idx="11">
                  <c:v>4415</c:v>
                </c:pt>
                <c:pt idx="12">
                  <c:v>3295</c:v>
                </c:pt>
                <c:pt idx="13">
                  <c:v>3312</c:v>
                </c:pt>
                <c:pt idx="14">
                  <c:v>2415</c:v>
                </c:pt>
                <c:pt idx="15">
                  <c:v>2421</c:v>
                </c:pt>
                <c:pt idx="16">
                  <c:v>2344</c:v>
                </c:pt>
                <c:pt idx="17">
                  <c:v>2512</c:v>
                </c:pt>
                <c:pt idx="18">
                  <c:v>3185</c:v>
                </c:pt>
                <c:pt idx="19">
                  <c:v>3678</c:v>
                </c:pt>
                <c:pt idx="20">
                  <c:v>2722</c:v>
                </c:pt>
                <c:pt idx="21">
                  <c:v>2607</c:v>
                </c:pt>
                <c:pt idx="22">
                  <c:v>4727</c:v>
                </c:pt>
                <c:pt idx="23">
                  <c:v>5899</c:v>
                </c:pt>
                <c:pt idx="24">
                  <c:v>3922</c:v>
                </c:pt>
                <c:pt idx="25">
                  <c:v>4415</c:v>
                </c:pt>
                <c:pt idx="26">
                  <c:v>3818</c:v>
                </c:pt>
                <c:pt idx="27">
                  <c:v>6408</c:v>
                </c:pt>
                <c:pt idx="28">
                  <c:v>3619</c:v>
                </c:pt>
                <c:pt idx="29">
                  <c:v>4494</c:v>
                </c:pt>
                <c:pt idx="30">
                  <c:v>4872</c:v>
                </c:pt>
                <c:pt idx="31">
                  <c:v>5870</c:v>
                </c:pt>
                <c:pt idx="32">
                  <c:v>5973</c:v>
                </c:pt>
                <c:pt idx="33">
                  <c:v>5658</c:v>
                </c:pt>
                <c:pt idx="34">
                  <c:v>4937</c:v>
                </c:pt>
                <c:pt idx="35">
                  <c:v>3121</c:v>
                </c:pt>
                <c:pt idx="36">
                  <c:v>3155</c:v>
                </c:pt>
                <c:pt idx="37">
                  <c:v>5359</c:v>
                </c:pt>
                <c:pt idx="38">
                  <c:v>4940</c:v>
                </c:pt>
                <c:pt idx="39">
                  <c:v>4720</c:v>
                </c:pt>
                <c:pt idx="40">
                  <c:v>6091</c:v>
                </c:pt>
                <c:pt idx="41">
                  <c:v>5077</c:v>
                </c:pt>
                <c:pt idx="42">
                  <c:v>2466</c:v>
                </c:pt>
                <c:pt idx="43">
                  <c:v>4711</c:v>
                </c:pt>
                <c:pt idx="44">
                  <c:v>6462</c:v>
                </c:pt>
                <c:pt idx="45">
                  <c:v>4314</c:v>
                </c:pt>
                <c:pt idx="46">
                  <c:v>5610</c:v>
                </c:pt>
                <c:pt idx="47">
                  <c:v>5190</c:v>
                </c:pt>
                <c:pt idx="48">
                  <c:v>5759</c:v>
                </c:pt>
                <c:pt idx="49">
                  <c:v>3455</c:v>
                </c:pt>
              </c:numCache>
            </c:numRef>
          </c:val>
          <c:smooth val="0"/>
          <c:extLst>
            <c:ext xmlns:c16="http://schemas.microsoft.com/office/drawing/2014/chart" uri="{C3380CC4-5D6E-409C-BE32-E72D297353CC}">
              <c16:uniqueId val="{00000000-3539-4829-8187-ED953047AA28}"/>
            </c:ext>
          </c:extLst>
        </c:ser>
        <c:dLbls>
          <c:dLblPos val="t"/>
          <c:showLegendKey val="0"/>
          <c:showVal val="1"/>
          <c:showCatName val="0"/>
          <c:showSerName val="0"/>
          <c:showPercent val="0"/>
          <c:showBubbleSize val="0"/>
        </c:dLbls>
        <c:marker val="1"/>
        <c:smooth val="0"/>
        <c:axId val="1988683072"/>
        <c:axId val="1988684032"/>
      </c:lineChart>
      <c:catAx>
        <c:axId val="1988683072"/>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en-US"/>
          </a:p>
        </c:txPr>
        <c:crossAx val="1988684032"/>
        <c:crosses val="autoZero"/>
        <c:auto val="1"/>
        <c:lblAlgn val="ctr"/>
        <c:lblOffset val="100"/>
        <c:noMultiLvlLbl val="0"/>
      </c:catAx>
      <c:valAx>
        <c:axId val="1988684032"/>
        <c:scaling>
          <c:orientation val="minMax"/>
          <c:max val="6500"/>
          <c:min val="200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lt1">
                    <a:lumMod val="85000"/>
                  </a:schemeClr>
                </a:solidFill>
                <a:latin typeface="+mn-lt"/>
                <a:ea typeface="+mn-ea"/>
                <a:cs typeface="+mn-cs"/>
              </a:defRPr>
            </a:pPr>
            <a:endParaRPr lang="en-US"/>
          </a:p>
        </c:txPr>
        <c:crossAx val="1988683072"/>
        <c:crosses val="autoZero"/>
        <c:crossBetween val="between"/>
        <c:majorUnit val="250"/>
        <c:minorUnit val="25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bg1"/>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10 Dashboard.xlsm]Pivot Tables!Temperature</c:name>
    <c:fmtId val="2"/>
  </c:pivotSource>
  <c:chart>
    <c:title>
      <c:tx>
        <c:rich>
          <a:bodyPr rot="0" spcFirstLastPara="1" vertOverflow="ellipsis" vert="horz" wrap="square" anchor="ctr" anchorCtr="1"/>
          <a:lstStyle/>
          <a:p>
            <a:pPr>
              <a:defRPr sz="1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800"/>
              <a:t>Average High and Low Temperatures</a:t>
            </a:r>
          </a:p>
        </c:rich>
      </c:tx>
      <c:overlay val="0"/>
      <c:spPr>
        <a:noFill/>
        <a:ln>
          <a:noFill/>
        </a:ln>
        <a:effectLst/>
      </c:spPr>
      <c:txPr>
        <a:bodyPr rot="0" spcFirstLastPara="1" vertOverflow="ellipsis" vert="horz" wrap="square" anchor="ctr" anchorCtr="1"/>
        <a:lstStyle/>
        <a:p>
          <a:pPr>
            <a:defRPr sz="1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100000">
                <a:srgbClr val="F29D2C"/>
              </a:gs>
              <a:gs pos="1000">
                <a:srgbClr val="1C3BD4"/>
              </a:gs>
              <a:gs pos="51000">
                <a:schemeClr val="accent2"/>
              </a:gs>
            </a:gsLst>
            <a:lin ang="16200000" scaled="1"/>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2"/>
            </a:solidFill>
            <a:round/>
          </a:ln>
          <a:effectLst>
            <a:outerShdw blurRad="57150" dist="19050" dir="5400000" algn="ctr" rotWithShape="0">
              <a:srgbClr val="000000">
                <a:alpha val="63000"/>
              </a:srgbClr>
            </a:outerShdw>
          </a:effectLst>
        </c:spPr>
        <c:marker>
          <c:symbol val="circle"/>
          <c:size val="6"/>
          <c:spPr>
            <a:solidFill>
              <a:schemeClr val="accent2"/>
            </a:solidFill>
            <a:ln w="9525">
              <a:solidFill>
                <a:schemeClr val="bg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chemeClr val="accent1"/>
            </a:solidFill>
            <a:ln w="9525">
              <a:solidFill>
                <a:schemeClr val="bg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2"/>
            </a:solidFill>
            <a:round/>
          </a:ln>
          <a:effectLst>
            <a:outerShdw blurRad="57150" dist="19050" dir="5400000" algn="ctr" rotWithShape="0">
              <a:srgbClr val="000000">
                <a:alpha val="63000"/>
              </a:srgbClr>
            </a:outerShdw>
          </a:effectLst>
        </c:spPr>
        <c:marker>
          <c:symbol val="circle"/>
          <c:size val="6"/>
          <c:spPr>
            <a:solidFill>
              <a:schemeClr val="accent2"/>
            </a:solidFill>
            <a:ln w="9525">
              <a:solidFill>
                <a:schemeClr val="bg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chemeClr val="accent1"/>
            </a:solidFill>
            <a:ln w="9525">
              <a:solidFill>
                <a:schemeClr val="bg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34925" cap="rnd">
            <a:solidFill>
              <a:schemeClr val="accent2"/>
            </a:solidFill>
            <a:round/>
          </a:ln>
          <a:effectLst>
            <a:outerShdw blurRad="57150" dist="19050" dir="5400000" algn="ctr" rotWithShape="0">
              <a:srgbClr val="000000">
                <a:alpha val="63000"/>
              </a:srgbClr>
            </a:outerShdw>
          </a:effectLst>
        </c:spPr>
        <c:marker>
          <c:symbol val="circle"/>
          <c:size val="6"/>
          <c:spPr>
            <a:solidFill>
              <a:schemeClr val="accent2"/>
            </a:solidFill>
            <a:ln w="9525">
              <a:solidFill>
                <a:schemeClr val="bg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chemeClr val="accent1"/>
            </a:solidFill>
            <a:ln w="9525">
              <a:solidFill>
                <a:schemeClr val="bg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7822500310016604E-2"/>
          <c:y val="7.4803581892245355E-2"/>
          <c:w val="0.89944692239590807"/>
          <c:h val="0.7949434255650234"/>
        </c:manualLayout>
      </c:layout>
      <c:lineChart>
        <c:grouping val="standard"/>
        <c:varyColors val="0"/>
        <c:ser>
          <c:idx val="0"/>
          <c:order val="0"/>
          <c:tx>
            <c:strRef>
              <c:f>'Pivot Tables'!$B$62</c:f>
              <c:strCache>
                <c:ptCount val="1"/>
                <c:pt idx="0">
                  <c:v>High Temperature (F)</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solidFill>
                <a:schemeClr val="accent2"/>
              </a:solidFill>
              <a:ln w="9525">
                <a:solidFill>
                  <a:schemeClr val="bg1"/>
                </a:solidFill>
                <a:round/>
              </a:ln>
              <a:effectLst>
                <a:outerShdw blurRad="57150" dist="19050" dir="5400000" algn="ctr" rotWithShape="0">
                  <a:srgbClr val="000000">
                    <a:alpha val="63000"/>
                  </a:srgbClr>
                </a:outerShdw>
              </a:effectLst>
            </c:spPr>
          </c:marker>
          <c:cat>
            <c:multiLvlStrRef>
              <c:f>'Pivot Tables'!$A$63:$A$117</c:f>
              <c:multiLvlStrCache>
                <c:ptCount val="50"/>
                <c:lvl>
                  <c:pt idx="0">
                    <c:v>DE</c:v>
                  </c:pt>
                  <c:pt idx="1">
                    <c:v>IA</c:v>
                  </c:pt>
                  <c:pt idx="2">
                    <c:v>IL</c:v>
                  </c:pt>
                  <c:pt idx="3">
                    <c:v>IN</c:v>
                  </c:pt>
                  <c:pt idx="4">
                    <c:v>KS</c:v>
                  </c:pt>
                  <c:pt idx="5">
                    <c:v>MI</c:v>
                  </c:pt>
                  <c:pt idx="6">
                    <c:v>MN</c:v>
                  </c:pt>
                  <c:pt idx="7">
                    <c:v>MO</c:v>
                  </c:pt>
                  <c:pt idx="8">
                    <c:v>ND</c:v>
                  </c:pt>
                  <c:pt idx="9">
                    <c:v>NE</c:v>
                  </c:pt>
                  <c:pt idx="10">
                    <c:v>OH</c:v>
                  </c:pt>
                  <c:pt idx="11">
                    <c:v>SD</c:v>
                  </c:pt>
                  <c:pt idx="12">
                    <c:v>WI</c:v>
                  </c:pt>
                  <c:pt idx="13">
                    <c:v>CT</c:v>
                  </c:pt>
                  <c:pt idx="14">
                    <c:v>MA</c:v>
                  </c:pt>
                  <c:pt idx="15">
                    <c:v>ME</c:v>
                  </c:pt>
                  <c:pt idx="16">
                    <c:v>NH</c:v>
                  </c:pt>
                  <c:pt idx="17">
                    <c:v>NJ</c:v>
                  </c:pt>
                  <c:pt idx="18">
                    <c:v>NY</c:v>
                  </c:pt>
                  <c:pt idx="19">
                    <c:v>PA</c:v>
                  </c:pt>
                  <c:pt idx="20">
                    <c:v>RI</c:v>
                  </c:pt>
                  <c:pt idx="21">
                    <c:v>VT</c:v>
                  </c:pt>
                  <c:pt idx="22">
                    <c:v>AL</c:v>
                  </c:pt>
                  <c:pt idx="23">
                    <c:v>AR</c:v>
                  </c:pt>
                  <c:pt idx="24">
                    <c:v>FL</c:v>
                  </c:pt>
                  <c:pt idx="25">
                    <c:v>GA</c:v>
                  </c:pt>
                  <c:pt idx="26">
                    <c:v>KY</c:v>
                  </c:pt>
                  <c:pt idx="27">
                    <c:v>LA</c:v>
                  </c:pt>
                  <c:pt idx="28">
                    <c:v>MD</c:v>
                  </c:pt>
                  <c:pt idx="29">
                    <c:v>MS</c:v>
                  </c:pt>
                  <c:pt idx="30">
                    <c:v>NC</c:v>
                  </c:pt>
                  <c:pt idx="31">
                    <c:v>OK</c:v>
                  </c:pt>
                  <c:pt idx="32">
                    <c:v>SC</c:v>
                  </c:pt>
                  <c:pt idx="33">
                    <c:v>TN</c:v>
                  </c:pt>
                  <c:pt idx="34">
                    <c:v>TX</c:v>
                  </c:pt>
                  <c:pt idx="35">
                    <c:v>VA</c:v>
                  </c:pt>
                  <c:pt idx="36">
                    <c:v>WV</c:v>
                  </c:pt>
                  <c:pt idx="37">
                    <c:v>AK</c:v>
                  </c:pt>
                  <c:pt idx="38">
                    <c:v>AZ</c:v>
                  </c:pt>
                  <c:pt idx="39">
                    <c:v>CA</c:v>
                  </c:pt>
                  <c:pt idx="40">
                    <c:v>CO</c:v>
                  </c:pt>
                  <c:pt idx="41">
                    <c:v>HI</c:v>
                  </c:pt>
                  <c:pt idx="42">
                    <c:v>ID</c:v>
                  </c:pt>
                  <c:pt idx="43">
                    <c:v>MT</c:v>
                  </c:pt>
                  <c:pt idx="44">
                    <c:v>NM</c:v>
                  </c:pt>
                  <c:pt idx="45">
                    <c:v>NV</c:v>
                  </c:pt>
                  <c:pt idx="46">
                    <c:v>OR</c:v>
                  </c:pt>
                  <c:pt idx="47">
                    <c:v>UT</c:v>
                  </c:pt>
                  <c:pt idx="48">
                    <c:v>WA</c:v>
                  </c:pt>
                  <c:pt idx="49">
                    <c:v>WY</c:v>
                  </c:pt>
                </c:lvl>
                <c:lvl>
                  <c:pt idx="0">
                    <c:v>Midwest</c:v>
                  </c:pt>
                  <c:pt idx="13">
                    <c:v>Northeast</c:v>
                  </c:pt>
                  <c:pt idx="22">
                    <c:v>South</c:v>
                  </c:pt>
                  <c:pt idx="37">
                    <c:v>West</c:v>
                  </c:pt>
                </c:lvl>
              </c:multiLvlStrCache>
            </c:multiLvlStrRef>
          </c:cat>
          <c:val>
            <c:numRef>
              <c:f>'Pivot Tables'!$B$63:$B$117</c:f>
              <c:numCache>
                <c:formatCode>General</c:formatCode>
                <c:ptCount val="50"/>
                <c:pt idx="0">
                  <c:v>66.099999999999994</c:v>
                </c:pt>
                <c:pt idx="1">
                  <c:v>62.5</c:v>
                </c:pt>
                <c:pt idx="2">
                  <c:v>55.7</c:v>
                </c:pt>
                <c:pt idx="3">
                  <c:v>62.7</c:v>
                </c:pt>
                <c:pt idx="4">
                  <c:v>67.5</c:v>
                </c:pt>
                <c:pt idx="5">
                  <c:v>55</c:v>
                </c:pt>
                <c:pt idx="6">
                  <c:v>51.9</c:v>
                </c:pt>
                <c:pt idx="7">
                  <c:v>75.3</c:v>
                </c:pt>
                <c:pt idx="8">
                  <c:v>55.9</c:v>
                </c:pt>
                <c:pt idx="9">
                  <c:v>70.5</c:v>
                </c:pt>
                <c:pt idx="10">
                  <c:v>61.7</c:v>
                </c:pt>
                <c:pt idx="11">
                  <c:v>57.5</c:v>
                </c:pt>
                <c:pt idx="12">
                  <c:v>63.5</c:v>
                </c:pt>
                <c:pt idx="13">
                  <c:v>60</c:v>
                </c:pt>
                <c:pt idx="14">
                  <c:v>51.9</c:v>
                </c:pt>
                <c:pt idx="15">
                  <c:v>58.8</c:v>
                </c:pt>
                <c:pt idx="16">
                  <c:v>61.9</c:v>
                </c:pt>
                <c:pt idx="17">
                  <c:v>54.7</c:v>
                </c:pt>
                <c:pt idx="18">
                  <c:v>69.5</c:v>
                </c:pt>
                <c:pt idx="19">
                  <c:v>59.7</c:v>
                </c:pt>
                <c:pt idx="20">
                  <c:v>60</c:v>
                </c:pt>
                <c:pt idx="21">
                  <c:v>66.900000000000006</c:v>
                </c:pt>
                <c:pt idx="22">
                  <c:v>35.5</c:v>
                </c:pt>
                <c:pt idx="23">
                  <c:v>75.3</c:v>
                </c:pt>
                <c:pt idx="24">
                  <c:v>81.900000000000006</c:v>
                </c:pt>
                <c:pt idx="25">
                  <c:v>75.599999999999994</c:v>
                </c:pt>
                <c:pt idx="26">
                  <c:v>67.2</c:v>
                </c:pt>
                <c:pt idx="27">
                  <c:v>77.5</c:v>
                </c:pt>
                <c:pt idx="28">
                  <c:v>65.400000000000006</c:v>
                </c:pt>
                <c:pt idx="29">
                  <c:v>66</c:v>
                </c:pt>
                <c:pt idx="30">
                  <c:v>64.599999999999994</c:v>
                </c:pt>
                <c:pt idx="31">
                  <c:v>72.3</c:v>
                </c:pt>
                <c:pt idx="32">
                  <c:v>74.7</c:v>
                </c:pt>
                <c:pt idx="33">
                  <c:v>69.400000000000006</c:v>
                </c:pt>
                <c:pt idx="34">
                  <c:v>78.099999999999994</c:v>
                </c:pt>
                <c:pt idx="35">
                  <c:v>53.4</c:v>
                </c:pt>
                <c:pt idx="36">
                  <c:v>54</c:v>
                </c:pt>
                <c:pt idx="37">
                  <c:v>75</c:v>
                </c:pt>
                <c:pt idx="38">
                  <c:v>71.8</c:v>
                </c:pt>
                <c:pt idx="39">
                  <c:v>71.5</c:v>
                </c:pt>
                <c:pt idx="40">
                  <c:v>60</c:v>
                </c:pt>
                <c:pt idx="41">
                  <c:v>80.400000000000006</c:v>
                </c:pt>
                <c:pt idx="42">
                  <c:v>58.5</c:v>
                </c:pt>
                <c:pt idx="43">
                  <c:v>54.7</c:v>
                </c:pt>
                <c:pt idx="44">
                  <c:v>63.6</c:v>
                </c:pt>
                <c:pt idx="45">
                  <c:v>52.2</c:v>
                </c:pt>
                <c:pt idx="46">
                  <c:v>59.4</c:v>
                </c:pt>
                <c:pt idx="47">
                  <c:v>62</c:v>
                </c:pt>
                <c:pt idx="48">
                  <c:v>57</c:v>
                </c:pt>
                <c:pt idx="49">
                  <c:v>55.2</c:v>
                </c:pt>
              </c:numCache>
            </c:numRef>
          </c:val>
          <c:smooth val="0"/>
          <c:extLst>
            <c:ext xmlns:c16="http://schemas.microsoft.com/office/drawing/2014/chart" uri="{C3380CC4-5D6E-409C-BE32-E72D297353CC}">
              <c16:uniqueId val="{00000000-BD68-4D04-A07F-6BE929E94FEE}"/>
            </c:ext>
          </c:extLst>
        </c:ser>
        <c:ser>
          <c:idx val="1"/>
          <c:order val="1"/>
          <c:tx>
            <c:strRef>
              <c:f>'Pivot Tables'!$C$62</c:f>
              <c:strCache>
                <c:ptCount val="1"/>
                <c:pt idx="0">
                  <c:v>Low Temperature (F)</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chemeClr val="accent1"/>
              </a:solidFill>
              <a:ln w="9525">
                <a:solidFill>
                  <a:schemeClr val="bg1"/>
                </a:solidFill>
                <a:round/>
              </a:ln>
              <a:effectLst>
                <a:outerShdw blurRad="57150" dist="19050" dir="5400000" algn="ctr" rotWithShape="0">
                  <a:srgbClr val="000000">
                    <a:alpha val="63000"/>
                  </a:srgbClr>
                </a:outerShdw>
              </a:effectLst>
            </c:spPr>
          </c:marker>
          <c:cat>
            <c:multiLvlStrRef>
              <c:f>'Pivot Tables'!$A$63:$A$117</c:f>
              <c:multiLvlStrCache>
                <c:ptCount val="50"/>
                <c:lvl>
                  <c:pt idx="0">
                    <c:v>DE</c:v>
                  </c:pt>
                  <c:pt idx="1">
                    <c:v>IA</c:v>
                  </c:pt>
                  <c:pt idx="2">
                    <c:v>IL</c:v>
                  </c:pt>
                  <c:pt idx="3">
                    <c:v>IN</c:v>
                  </c:pt>
                  <c:pt idx="4">
                    <c:v>KS</c:v>
                  </c:pt>
                  <c:pt idx="5">
                    <c:v>MI</c:v>
                  </c:pt>
                  <c:pt idx="6">
                    <c:v>MN</c:v>
                  </c:pt>
                  <c:pt idx="7">
                    <c:v>MO</c:v>
                  </c:pt>
                  <c:pt idx="8">
                    <c:v>ND</c:v>
                  </c:pt>
                  <c:pt idx="9">
                    <c:v>NE</c:v>
                  </c:pt>
                  <c:pt idx="10">
                    <c:v>OH</c:v>
                  </c:pt>
                  <c:pt idx="11">
                    <c:v>SD</c:v>
                  </c:pt>
                  <c:pt idx="12">
                    <c:v>WI</c:v>
                  </c:pt>
                  <c:pt idx="13">
                    <c:v>CT</c:v>
                  </c:pt>
                  <c:pt idx="14">
                    <c:v>MA</c:v>
                  </c:pt>
                  <c:pt idx="15">
                    <c:v>ME</c:v>
                  </c:pt>
                  <c:pt idx="16">
                    <c:v>NH</c:v>
                  </c:pt>
                  <c:pt idx="17">
                    <c:v>NJ</c:v>
                  </c:pt>
                  <c:pt idx="18">
                    <c:v>NY</c:v>
                  </c:pt>
                  <c:pt idx="19">
                    <c:v>PA</c:v>
                  </c:pt>
                  <c:pt idx="20">
                    <c:v>RI</c:v>
                  </c:pt>
                  <c:pt idx="21">
                    <c:v>VT</c:v>
                  </c:pt>
                  <c:pt idx="22">
                    <c:v>AL</c:v>
                  </c:pt>
                  <c:pt idx="23">
                    <c:v>AR</c:v>
                  </c:pt>
                  <c:pt idx="24">
                    <c:v>FL</c:v>
                  </c:pt>
                  <c:pt idx="25">
                    <c:v>GA</c:v>
                  </c:pt>
                  <c:pt idx="26">
                    <c:v>KY</c:v>
                  </c:pt>
                  <c:pt idx="27">
                    <c:v>LA</c:v>
                  </c:pt>
                  <c:pt idx="28">
                    <c:v>MD</c:v>
                  </c:pt>
                  <c:pt idx="29">
                    <c:v>MS</c:v>
                  </c:pt>
                  <c:pt idx="30">
                    <c:v>NC</c:v>
                  </c:pt>
                  <c:pt idx="31">
                    <c:v>OK</c:v>
                  </c:pt>
                  <c:pt idx="32">
                    <c:v>SC</c:v>
                  </c:pt>
                  <c:pt idx="33">
                    <c:v>TN</c:v>
                  </c:pt>
                  <c:pt idx="34">
                    <c:v>TX</c:v>
                  </c:pt>
                  <c:pt idx="35">
                    <c:v>VA</c:v>
                  </c:pt>
                  <c:pt idx="36">
                    <c:v>WV</c:v>
                  </c:pt>
                  <c:pt idx="37">
                    <c:v>AK</c:v>
                  </c:pt>
                  <c:pt idx="38">
                    <c:v>AZ</c:v>
                  </c:pt>
                  <c:pt idx="39">
                    <c:v>CA</c:v>
                  </c:pt>
                  <c:pt idx="40">
                    <c:v>CO</c:v>
                  </c:pt>
                  <c:pt idx="41">
                    <c:v>HI</c:v>
                  </c:pt>
                  <c:pt idx="42">
                    <c:v>ID</c:v>
                  </c:pt>
                  <c:pt idx="43">
                    <c:v>MT</c:v>
                  </c:pt>
                  <c:pt idx="44">
                    <c:v>NM</c:v>
                  </c:pt>
                  <c:pt idx="45">
                    <c:v>NV</c:v>
                  </c:pt>
                  <c:pt idx="46">
                    <c:v>OR</c:v>
                  </c:pt>
                  <c:pt idx="47">
                    <c:v>UT</c:v>
                  </c:pt>
                  <c:pt idx="48">
                    <c:v>WA</c:v>
                  </c:pt>
                  <c:pt idx="49">
                    <c:v>WY</c:v>
                  </c:pt>
                </c:lvl>
                <c:lvl>
                  <c:pt idx="0">
                    <c:v>Midwest</c:v>
                  </c:pt>
                  <c:pt idx="13">
                    <c:v>Northeast</c:v>
                  </c:pt>
                  <c:pt idx="22">
                    <c:v>South</c:v>
                  </c:pt>
                  <c:pt idx="37">
                    <c:v>West</c:v>
                  </c:pt>
                </c:lvl>
              </c:multiLvlStrCache>
            </c:multiLvlStrRef>
          </c:cat>
          <c:val>
            <c:numRef>
              <c:f>'Pivot Tables'!$C$63:$C$117</c:f>
              <c:numCache>
                <c:formatCode>General</c:formatCode>
                <c:ptCount val="50"/>
                <c:pt idx="0">
                  <c:v>46.3</c:v>
                </c:pt>
                <c:pt idx="1">
                  <c:v>42.2</c:v>
                </c:pt>
                <c:pt idx="2">
                  <c:v>32.1</c:v>
                </c:pt>
                <c:pt idx="3">
                  <c:v>42.6</c:v>
                </c:pt>
                <c:pt idx="4">
                  <c:v>42.6</c:v>
                </c:pt>
                <c:pt idx="5">
                  <c:v>35.299999999999997</c:v>
                </c:pt>
                <c:pt idx="6">
                  <c:v>31.4</c:v>
                </c:pt>
                <c:pt idx="7">
                  <c:v>53</c:v>
                </c:pt>
                <c:pt idx="8">
                  <c:v>36.1</c:v>
                </c:pt>
                <c:pt idx="9">
                  <c:v>48.6</c:v>
                </c:pt>
                <c:pt idx="10">
                  <c:v>41.6</c:v>
                </c:pt>
                <c:pt idx="11">
                  <c:v>33.799999999999997</c:v>
                </c:pt>
                <c:pt idx="12">
                  <c:v>41.7</c:v>
                </c:pt>
                <c:pt idx="13">
                  <c:v>39.799999999999997</c:v>
                </c:pt>
                <c:pt idx="14">
                  <c:v>31.7</c:v>
                </c:pt>
                <c:pt idx="15">
                  <c:v>38.700000000000003</c:v>
                </c:pt>
                <c:pt idx="16">
                  <c:v>36.9</c:v>
                </c:pt>
                <c:pt idx="17">
                  <c:v>33.299999999999997</c:v>
                </c:pt>
                <c:pt idx="18">
                  <c:v>39.4</c:v>
                </c:pt>
                <c:pt idx="19">
                  <c:v>39.200000000000003</c:v>
                </c:pt>
                <c:pt idx="20">
                  <c:v>41.3</c:v>
                </c:pt>
                <c:pt idx="21">
                  <c:v>45.1</c:v>
                </c:pt>
                <c:pt idx="22">
                  <c:v>20.399999999999999</c:v>
                </c:pt>
                <c:pt idx="23">
                  <c:v>46.8</c:v>
                </c:pt>
                <c:pt idx="24">
                  <c:v>60.9</c:v>
                </c:pt>
                <c:pt idx="25">
                  <c:v>52.7</c:v>
                </c:pt>
                <c:pt idx="26">
                  <c:v>45.4</c:v>
                </c:pt>
                <c:pt idx="27">
                  <c:v>56.7</c:v>
                </c:pt>
                <c:pt idx="28">
                  <c:v>45.4</c:v>
                </c:pt>
                <c:pt idx="29">
                  <c:v>44.5</c:v>
                </c:pt>
                <c:pt idx="30">
                  <c:v>37.4</c:v>
                </c:pt>
                <c:pt idx="31">
                  <c:v>48.3</c:v>
                </c:pt>
                <c:pt idx="32">
                  <c:v>52</c:v>
                </c:pt>
                <c:pt idx="33">
                  <c:v>47.5</c:v>
                </c:pt>
                <c:pt idx="34">
                  <c:v>53.5</c:v>
                </c:pt>
                <c:pt idx="35">
                  <c:v>32.700000000000003</c:v>
                </c:pt>
                <c:pt idx="36">
                  <c:v>33.700000000000003</c:v>
                </c:pt>
                <c:pt idx="37">
                  <c:v>52.2</c:v>
                </c:pt>
                <c:pt idx="38">
                  <c:v>50.2</c:v>
                </c:pt>
                <c:pt idx="39">
                  <c:v>46.5</c:v>
                </c:pt>
                <c:pt idx="40">
                  <c:v>32.4</c:v>
                </c:pt>
                <c:pt idx="41">
                  <c:v>66.599999999999994</c:v>
                </c:pt>
                <c:pt idx="42">
                  <c:v>38.1</c:v>
                </c:pt>
                <c:pt idx="43">
                  <c:v>30.4</c:v>
                </c:pt>
                <c:pt idx="44">
                  <c:v>43.6</c:v>
                </c:pt>
                <c:pt idx="45">
                  <c:v>29.8</c:v>
                </c:pt>
                <c:pt idx="46">
                  <c:v>36.4</c:v>
                </c:pt>
                <c:pt idx="47">
                  <c:v>36.4</c:v>
                </c:pt>
                <c:pt idx="48">
                  <c:v>37.6</c:v>
                </c:pt>
                <c:pt idx="49">
                  <c:v>29.3</c:v>
                </c:pt>
              </c:numCache>
            </c:numRef>
          </c:val>
          <c:smooth val="0"/>
          <c:extLst>
            <c:ext xmlns:c16="http://schemas.microsoft.com/office/drawing/2014/chart" uri="{C3380CC4-5D6E-409C-BE32-E72D297353CC}">
              <c16:uniqueId val="{00000001-BD68-4D04-A07F-6BE929E94FEE}"/>
            </c:ext>
          </c:extLst>
        </c:ser>
        <c:dLbls>
          <c:showLegendKey val="0"/>
          <c:showVal val="0"/>
          <c:showCatName val="0"/>
          <c:showSerName val="0"/>
          <c:showPercent val="0"/>
          <c:showBubbleSize val="0"/>
        </c:dLbls>
        <c:marker val="1"/>
        <c:smooth val="0"/>
        <c:axId val="417902624"/>
        <c:axId val="417902144"/>
      </c:lineChart>
      <c:catAx>
        <c:axId val="417902624"/>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en-US"/>
          </a:p>
        </c:txPr>
        <c:crossAx val="417902144"/>
        <c:crosses val="autoZero"/>
        <c:auto val="1"/>
        <c:lblAlgn val="ctr"/>
        <c:lblOffset val="100"/>
        <c:noMultiLvlLbl val="0"/>
      </c:catAx>
      <c:valAx>
        <c:axId val="4179021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crossAx val="417902624"/>
        <c:crosses val="autoZero"/>
        <c:crossBetween val="between"/>
      </c:valAx>
      <c:spPr>
        <a:noFill/>
        <a:ln>
          <a:noFill/>
        </a:ln>
        <a:effectLst/>
      </c:spPr>
    </c:plotArea>
    <c:legend>
      <c:legendPos val="b"/>
      <c:layout>
        <c:manualLayout>
          <c:xMode val="edge"/>
          <c:yMode val="edge"/>
          <c:x val="0.22009580052493441"/>
          <c:y val="0.78749015748031503"/>
          <c:w val="0.57462321376494607"/>
          <c:h val="5.6954286964129484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bg1"/>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10 Dashboard.xlsm]Pivot Tables!Employment</c:name>
    <c:fmtId val="1"/>
  </c:pivotSource>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en-US" sz="1600"/>
              <a:t>Unemployment Rate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035433070866143E-2"/>
          <c:y val="0.10980555555555556"/>
          <c:w val="0.89166887433463349"/>
          <c:h val="0.77937073490813646"/>
        </c:manualLayout>
      </c:layout>
      <c:barChart>
        <c:barDir val="col"/>
        <c:grouping val="clustered"/>
        <c:varyColors val="0"/>
        <c:ser>
          <c:idx val="0"/>
          <c:order val="0"/>
          <c:tx>
            <c:strRef>
              <c:f>'Pivot Tables'!$J$3</c:f>
              <c:strCache>
                <c:ptCount val="1"/>
                <c:pt idx="0">
                  <c:v>Average of 2023 Unemployment Rate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'Pivot Tables'!$I$4:$I$58</c:f>
              <c:multiLvlStrCache>
                <c:ptCount val="50"/>
                <c:lvl>
                  <c:pt idx="0">
                    <c:v>DE</c:v>
                  </c:pt>
                  <c:pt idx="1">
                    <c:v>IA</c:v>
                  </c:pt>
                  <c:pt idx="2">
                    <c:v>IL</c:v>
                  </c:pt>
                  <c:pt idx="3">
                    <c:v>IN</c:v>
                  </c:pt>
                  <c:pt idx="4">
                    <c:v>KS</c:v>
                  </c:pt>
                  <c:pt idx="5">
                    <c:v>MI</c:v>
                  </c:pt>
                  <c:pt idx="6">
                    <c:v>MN</c:v>
                  </c:pt>
                  <c:pt idx="7">
                    <c:v>MO</c:v>
                  </c:pt>
                  <c:pt idx="8">
                    <c:v>ND</c:v>
                  </c:pt>
                  <c:pt idx="9">
                    <c:v>NE</c:v>
                  </c:pt>
                  <c:pt idx="10">
                    <c:v>OH</c:v>
                  </c:pt>
                  <c:pt idx="11">
                    <c:v>SD</c:v>
                  </c:pt>
                  <c:pt idx="12">
                    <c:v>WI</c:v>
                  </c:pt>
                  <c:pt idx="13">
                    <c:v>CT</c:v>
                  </c:pt>
                  <c:pt idx="14">
                    <c:v>MA</c:v>
                  </c:pt>
                  <c:pt idx="15">
                    <c:v>ME</c:v>
                  </c:pt>
                  <c:pt idx="16">
                    <c:v>NH</c:v>
                  </c:pt>
                  <c:pt idx="17">
                    <c:v>NJ</c:v>
                  </c:pt>
                  <c:pt idx="18">
                    <c:v>NY</c:v>
                  </c:pt>
                  <c:pt idx="19">
                    <c:v>PA</c:v>
                  </c:pt>
                  <c:pt idx="20">
                    <c:v>RI</c:v>
                  </c:pt>
                  <c:pt idx="21">
                    <c:v>VT</c:v>
                  </c:pt>
                  <c:pt idx="22">
                    <c:v>AL</c:v>
                  </c:pt>
                  <c:pt idx="23">
                    <c:v>AR</c:v>
                  </c:pt>
                  <c:pt idx="24">
                    <c:v>FL</c:v>
                  </c:pt>
                  <c:pt idx="25">
                    <c:v>GA</c:v>
                  </c:pt>
                  <c:pt idx="26">
                    <c:v>KY</c:v>
                  </c:pt>
                  <c:pt idx="27">
                    <c:v>LA</c:v>
                  </c:pt>
                  <c:pt idx="28">
                    <c:v>MD</c:v>
                  </c:pt>
                  <c:pt idx="29">
                    <c:v>MS</c:v>
                  </c:pt>
                  <c:pt idx="30">
                    <c:v>NC</c:v>
                  </c:pt>
                  <c:pt idx="31">
                    <c:v>OK</c:v>
                  </c:pt>
                  <c:pt idx="32">
                    <c:v>SC</c:v>
                  </c:pt>
                  <c:pt idx="33">
                    <c:v>TN</c:v>
                  </c:pt>
                  <c:pt idx="34">
                    <c:v>TX</c:v>
                  </c:pt>
                  <c:pt idx="35">
                    <c:v>VA</c:v>
                  </c:pt>
                  <c:pt idx="36">
                    <c:v>WV</c:v>
                  </c:pt>
                  <c:pt idx="37">
                    <c:v>AK</c:v>
                  </c:pt>
                  <c:pt idx="38">
                    <c:v>AZ</c:v>
                  </c:pt>
                  <c:pt idx="39">
                    <c:v>CA</c:v>
                  </c:pt>
                  <c:pt idx="40">
                    <c:v>CO</c:v>
                  </c:pt>
                  <c:pt idx="41">
                    <c:v>HI</c:v>
                  </c:pt>
                  <c:pt idx="42">
                    <c:v>ID</c:v>
                  </c:pt>
                  <c:pt idx="43">
                    <c:v>MT</c:v>
                  </c:pt>
                  <c:pt idx="44">
                    <c:v>NM</c:v>
                  </c:pt>
                  <c:pt idx="45">
                    <c:v>NV</c:v>
                  </c:pt>
                  <c:pt idx="46">
                    <c:v>OR</c:v>
                  </c:pt>
                  <c:pt idx="47">
                    <c:v>UT</c:v>
                  </c:pt>
                  <c:pt idx="48">
                    <c:v>WA</c:v>
                  </c:pt>
                  <c:pt idx="49">
                    <c:v>WY</c:v>
                  </c:pt>
                </c:lvl>
                <c:lvl>
                  <c:pt idx="0">
                    <c:v>Midwest</c:v>
                  </c:pt>
                  <c:pt idx="13">
                    <c:v>Northeast</c:v>
                  </c:pt>
                  <c:pt idx="22">
                    <c:v>South</c:v>
                  </c:pt>
                  <c:pt idx="37">
                    <c:v>West</c:v>
                  </c:pt>
                </c:lvl>
              </c:multiLvlStrCache>
            </c:multiLvlStrRef>
          </c:cat>
          <c:val>
            <c:numRef>
              <c:f>'Pivot Tables'!$J$4:$J$58</c:f>
              <c:numCache>
                <c:formatCode>General</c:formatCode>
                <c:ptCount val="50"/>
                <c:pt idx="0">
                  <c:v>4.4999999999999998E-2</c:v>
                </c:pt>
                <c:pt idx="1">
                  <c:v>2.7E-2</c:v>
                </c:pt>
                <c:pt idx="2">
                  <c:v>4.5999999999999999E-2</c:v>
                </c:pt>
                <c:pt idx="3">
                  <c:v>0.03</c:v>
                </c:pt>
                <c:pt idx="4">
                  <c:v>2.7E-2</c:v>
                </c:pt>
                <c:pt idx="5">
                  <c:v>4.2000000000000003E-2</c:v>
                </c:pt>
                <c:pt idx="6">
                  <c:v>2.7E-2</c:v>
                </c:pt>
                <c:pt idx="7">
                  <c:v>2.5000000000000001E-2</c:v>
                </c:pt>
                <c:pt idx="8">
                  <c:v>2.1000000000000001E-2</c:v>
                </c:pt>
                <c:pt idx="9">
                  <c:v>2.7E-2</c:v>
                </c:pt>
                <c:pt idx="10">
                  <c:v>0.04</c:v>
                </c:pt>
                <c:pt idx="11">
                  <c:v>2.1000000000000001E-2</c:v>
                </c:pt>
                <c:pt idx="12">
                  <c:v>2.9000000000000001E-2</c:v>
                </c:pt>
                <c:pt idx="13">
                  <c:v>4.2000000000000003E-2</c:v>
                </c:pt>
                <c:pt idx="14">
                  <c:v>3.7999999999999999E-2</c:v>
                </c:pt>
                <c:pt idx="15">
                  <c:v>0.03</c:v>
                </c:pt>
                <c:pt idx="16">
                  <c:v>2.5000000000000001E-2</c:v>
                </c:pt>
                <c:pt idx="17">
                  <c:v>3.6999999999999998E-2</c:v>
                </c:pt>
                <c:pt idx="18">
                  <c:v>4.2999999999999997E-2</c:v>
                </c:pt>
                <c:pt idx="19">
                  <c:v>4.3999999999999997E-2</c:v>
                </c:pt>
                <c:pt idx="20">
                  <c:v>3.2000000000000001E-2</c:v>
                </c:pt>
                <c:pt idx="21">
                  <c:v>2.5999999999999999E-2</c:v>
                </c:pt>
                <c:pt idx="22">
                  <c:v>2.5999999999999999E-2</c:v>
                </c:pt>
                <c:pt idx="23">
                  <c:v>3.3000000000000002E-2</c:v>
                </c:pt>
                <c:pt idx="24">
                  <c:v>2.9000000000000001E-2</c:v>
                </c:pt>
                <c:pt idx="25">
                  <c:v>0.03</c:v>
                </c:pt>
                <c:pt idx="26">
                  <c:v>3.9E-2</c:v>
                </c:pt>
                <c:pt idx="27">
                  <c:v>3.6999999999999998E-2</c:v>
                </c:pt>
                <c:pt idx="28">
                  <c:v>3.2000000000000001E-2</c:v>
                </c:pt>
                <c:pt idx="29">
                  <c:v>3.9E-2</c:v>
                </c:pt>
                <c:pt idx="30">
                  <c:v>3.6999999999999998E-2</c:v>
                </c:pt>
                <c:pt idx="31">
                  <c:v>0.03</c:v>
                </c:pt>
                <c:pt idx="32">
                  <c:v>3.2000000000000001E-2</c:v>
                </c:pt>
                <c:pt idx="33">
                  <c:v>3.4000000000000002E-2</c:v>
                </c:pt>
                <c:pt idx="34">
                  <c:v>3.9E-2</c:v>
                </c:pt>
                <c:pt idx="35">
                  <c:v>2.9000000000000001E-2</c:v>
                </c:pt>
                <c:pt idx="36">
                  <c:v>3.9E-2</c:v>
                </c:pt>
                <c:pt idx="37">
                  <c:v>4.3999999999999997E-2</c:v>
                </c:pt>
                <c:pt idx="38">
                  <c:v>3.7999999999999999E-2</c:v>
                </c:pt>
                <c:pt idx="39">
                  <c:v>4.2000000000000003E-2</c:v>
                </c:pt>
                <c:pt idx="40">
                  <c:v>0.03</c:v>
                </c:pt>
                <c:pt idx="41">
                  <c:v>3.5000000000000003E-2</c:v>
                </c:pt>
                <c:pt idx="42">
                  <c:v>2.7E-2</c:v>
                </c:pt>
                <c:pt idx="43">
                  <c:v>2.5999999999999999E-2</c:v>
                </c:pt>
                <c:pt idx="44">
                  <c:v>0.04</c:v>
                </c:pt>
                <c:pt idx="45">
                  <c:v>5.7000000000000002E-2</c:v>
                </c:pt>
                <c:pt idx="46">
                  <c:v>4.2000000000000003E-2</c:v>
                </c:pt>
                <c:pt idx="47">
                  <c:v>2.3E-2</c:v>
                </c:pt>
                <c:pt idx="48">
                  <c:v>4.2000000000000003E-2</c:v>
                </c:pt>
                <c:pt idx="49">
                  <c:v>3.5999999999999997E-2</c:v>
                </c:pt>
              </c:numCache>
            </c:numRef>
          </c:val>
          <c:extLst>
            <c:ext xmlns:c16="http://schemas.microsoft.com/office/drawing/2014/chart" uri="{C3380CC4-5D6E-409C-BE32-E72D297353CC}">
              <c16:uniqueId val="{00000000-E6DC-4A75-B8E4-7877D75EEF14}"/>
            </c:ext>
          </c:extLst>
        </c:ser>
        <c:ser>
          <c:idx val="1"/>
          <c:order val="1"/>
          <c:tx>
            <c:strRef>
              <c:f>'Pivot Tables'!$K$3</c:f>
              <c:strCache>
                <c:ptCount val="1"/>
                <c:pt idx="0">
                  <c:v>Average of 2022 Unemployment Rate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'Pivot Tables'!$I$4:$I$58</c:f>
              <c:multiLvlStrCache>
                <c:ptCount val="50"/>
                <c:lvl>
                  <c:pt idx="0">
                    <c:v>DE</c:v>
                  </c:pt>
                  <c:pt idx="1">
                    <c:v>IA</c:v>
                  </c:pt>
                  <c:pt idx="2">
                    <c:v>IL</c:v>
                  </c:pt>
                  <c:pt idx="3">
                    <c:v>IN</c:v>
                  </c:pt>
                  <c:pt idx="4">
                    <c:v>KS</c:v>
                  </c:pt>
                  <c:pt idx="5">
                    <c:v>MI</c:v>
                  </c:pt>
                  <c:pt idx="6">
                    <c:v>MN</c:v>
                  </c:pt>
                  <c:pt idx="7">
                    <c:v>MO</c:v>
                  </c:pt>
                  <c:pt idx="8">
                    <c:v>ND</c:v>
                  </c:pt>
                  <c:pt idx="9">
                    <c:v>NE</c:v>
                  </c:pt>
                  <c:pt idx="10">
                    <c:v>OH</c:v>
                  </c:pt>
                  <c:pt idx="11">
                    <c:v>SD</c:v>
                  </c:pt>
                  <c:pt idx="12">
                    <c:v>WI</c:v>
                  </c:pt>
                  <c:pt idx="13">
                    <c:v>CT</c:v>
                  </c:pt>
                  <c:pt idx="14">
                    <c:v>MA</c:v>
                  </c:pt>
                  <c:pt idx="15">
                    <c:v>ME</c:v>
                  </c:pt>
                  <c:pt idx="16">
                    <c:v>NH</c:v>
                  </c:pt>
                  <c:pt idx="17">
                    <c:v>NJ</c:v>
                  </c:pt>
                  <c:pt idx="18">
                    <c:v>NY</c:v>
                  </c:pt>
                  <c:pt idx="19">
                    <c:v>PA</c:v>
                  </c:pt>
                  <c:pt idx="20">
                    <c:v>RI</c:v>
                  </c:pt>
                  <c:pt idx="21">
                    <c:v>VT</c:v>
                  </c:pt>
                  <c:pt idx="22">
                    <c:v>AL</c:v>
                  </c:pt>
                  <c:pt idx="23">
                    <c:v>AR</c:v>
                  </c:pt>
                  <c:pt idx="24">
                    <c:v>FL</c:v>
                  </c:pt>
                  <c:pt idx="25">
                    <c:v>GA</c:v>
                  </c:pt>
                  <c:pt idx="26">
                    <c:v>KY</c:v>
                  </c:pt>
                  <c:pt idx="27">
                    <c:v>LA</c:v>
                  </c:pt>
                  <c:pt idx="28">
                    <c:v>MD</c:v>
                  </c:pt>
                  <c:pt idx="29">
                    <c:v>MS</c:v>
                  </c:pt>
                  <c:pt idx="30">
                    <c:v>NC</c:v>
                  </c:pt>
                  <c:pt idx="31">
                    <c:v>OK</c:v>
                  </c:pt>
                  <c:pt idx="32">
                    <c:v>SC</c:v>
                  </c:pt>
                  <c:pt idx="33">
                    <c:v>TN</c:v>
                  </c:pt>
                  <c:pt idx="34">
                    <c:v>TX</c:v>
                  </c:pt>
                  <c:pt idx="35">
                    <c:v>VA</c:v>
                  </c:pt>
                  <c:pt idx="36">
                    <c:v>WV</c:v>
                  </c:pt>
                  <c:pt idx="37">
                    <c:v>AK</c:v>
                  </c:pt>
                  <c:pt idx="38">
                    <c:v>AZ</c:v>
                  </c:pt>
                  <c:pt idx="39">
                    <c:v>CA</c:v>
                  </c:pt>
                  <c:pt idx="40">
                    <c:v>CO</c:v>
                  </c:pt>
                  <c:pt idx="41">
                    <c:v>HI</c:v>
                  </c:pt>
                  <c:pt idx="42">
                    <c:v>ID</c:v>
                  </c:pt>
                  <c:pt idx="43">
                    <c:v>MT</c:v>
                  </c:pt>
                  <c:pt idx="44">
                    <c:v>NM</c:v>
                  </c:pt>
                  <c:pt idx="45">
                    <c:v>NV</c:v>
                  </c:pt>
                  <c:pt idx="46">
                    <c:v>OR</c:v>
                  </c:pt>
                  <c:pt idx="47">
                    <c:v>UT</c:v>
                  </c:pt>
                  <c:pt idx="48">
                    <c:v>WA</c:v>
                  </c:pt>
                  <c:pt idx="49">
                    <c:v>WY</c:v>
                  </c:pt>
                </c:lvl>
                <c:lvl>
                  <c:pt idx="0">
                    <c:v>Midwest</c:v>
                  </c:pt>
                  <c:pt idx="13">
                    <c:v>Northeast</c:v>
                  </c:pt>
                  <c:pt idx="22">
                    <c:v>South</c:v>
                  </c:pt>
                  <c:pt idx="37">
                    <c:v>West</c:v>
                  </c:pt>
                </c:lvl>
              </c:multiLvlStrCache>
            </c:multiLvlStrRef>
          </c:cat>
          <c:val>
            <c:numRef>
              <c:f>'Pivot Tables'!$K$4:$K$58</c:f>
              <c:numCache>
                <c:formatCode>General</c:formatCode>
                <c:ptCount val="50"/>
                <c:pt idx="0">
                  <c:v>5.5E-2</c:v>
                </c:pt>
                <c:pt idx="1">
                  <c:v>3.7999999999999999E-2</c:v>
                </c:pt>
                <c:pt idx="2">
                  <c:v>6.0999999999999999E-2</c:v>
                </c:pt>
                <c:pt idx="3">
                  <c:v>3.9E-2</c:v>
                </c:pt>
                <c:pt idx="4">
                  <c:v>3.3000000000000002E-2</c:v>
                </c:pt>
                <c:pt idx="5">
                  <c:v>5.8000000000000003E-2</c:v>
                </c:pt>
                <c:pt idx="6">
                  <c:v>3.7999999999999999E-2</c:v>
                </c:pt>
                <c:pt idx="7">
                  <c:v>4.1000000000000002E-2</c:v>
                </c:pt>
                <c:pt idx="8">
                  <c:v>3.1E-2</c:v>
                </c:pt>
                <c:pt idx="9">
                  <c:v>3.2000000000000001E-2</c:v>
                </c:pt>
                <c:pt idx="10">
                  <c:v>5.0999999999999997E-2</c:v>
                </c:pt>
                <c:pt idx="11">
                  <c:v>2.5999999999999999E-2</c:v>
                </c:pt>
                <c:pt idx="12">
                  <c:v>3.7999999999999999E-2</c:v>
                </c:pt>
                <c:pt idx="13">
                  <c:v>6.3E-2</c:v>
                </c:pt>
                <c:pt idx="14">
                  <c:v>5.5E-2</c:v>
                </c:pt>
                <c:pt idx="15">
                  <c:v>4.5999999999999999E-2</c:v>
                </c:pt>
                <c:pt idx="16">
                  <c:v>3.4000000000000002E-2</c:v>
                </c:pt>
                <c:pt idx="17">
                  <c:v>6.6000000000000003E-2</c:v>
                </c:pt>
                <c:pt idx="18">
                  <c:v>7.0000000000000007E-2</c:v>
                </c:pt>
                <c:pt idx="19">
                  <c:v>0.06</c:v>
                </c:pt>
                <c:pt idx="20">
                  <c:v>5.5E-2</c:v>
                </c:pt>
                <c:pt idx="21">
                  <c:v>3.6999999999999998E-2</c:v>
                </c:pt>
                <c:pt idx="22">
                  <c:v>3.4000000000000002E-2</c:v>
                </c:pt>
                <c:pt idx="23">
                  <c:v>4.1000000000000002E-2</c:v>
                </c:pt>
                <c:pt idx="24">
                  <c:v>4.5999999999999999E-2</c:v>
                </c:pt>
                <c:pt idx="25">
                  <c:v>3.9E-2</c:v>
                </c:pt>
                <c:pt idx="26">
                  <c:v>4.3999999999999997E-2</c:v>
                </c:pt>
                <c:pt idx="27">
                  <c:v>5.6000000000000001E-2</c:v>
                </c:pt>
                <c:pt idx="28">
                  <c:v>5.2999999999999999E-2</c:v>
                </c:pt>
                <c:pt idx="29">
                  <c:v>5.5E-2</c:v>
                </c:pt>
                <c:pt idx="30">
                  <c:v>4.9000000000000002E-2</c:v>
                </c:pt>
                <c:pt idx="31">
                  <c:v>0.04</c:v>
                </c:pt>
                <c:pt idx="32">
                  <c:v>3.9E-2</c:v>
                </c:pt>
                <c:pt idx="33">
                  <c:v>4.4999999999999998E-2</c:v>
                </c:pt>
                <c:pt idx="34">
                  <c:v>5.6000000000000001E-2</c:v>
                </c:pt>
                <c:pt idx="35">
                  <c:v>3.9E-2</c:v>
                </c:pt>
                <c:pt idx="36">
                  <c:v>5.0999999999999997E-2</c:v>
                </c:pt>
                <c:pt idx="37">
                  <c:v>6.4000000000000001E-2</c:v>
                </c:pt>
                <c:pt idx="38">
                  <c:v>5.0999999999999997E-2</c:v>
                </c:pt>
                <c:pt idx="39">
                  <c:v>7.2999999999999995E-2</c:v>
                </c:pt>
                <c:pt idx="40">
                  <c:v>5.3999999999999999E-2</c:v>
                </c:pt>
                <c:pt idx="41">
                  <c:v>0.06</c:v>
                </c:pt>
                <c:pt idx="42">
                  <c:v>3.5000000000000003E-2</c:v>
                </c:pt>
                <c:pt idx="43">
                  <c:v>3.4000000000000002E-2</c:v>
                </c:pt>
                <c:pt idx="44">
                  <c:v>7.0999999999999994E-2</c:v>
                </c:pt>
                <c:pt idx="45">
                  <c:v>6.3E-2</c:v>
                </c:pt>
                <c:pt idx="46">
                  <c:v>5.1999999999999998E-2</c:v>
                </c:pt>
                <c:pt idx="47">
                  <c:v>2.7E-2</c:v>
                </c:pt>
                <c:pt idx="48">
                  <c:v>5.1999999999999998E-2</c:v>
                </c:pt>
                <c:pt idx="49">
                  <c:v>4.5999999999999999E-2</c:v>
                </c:pt>
              </c:numCache>
            </c:numRef>
          </c:val>
          <c:extLst>
            <c:ext xmlns:c16="http://schemas.microsoft.com/office/drawing/2014/chart" uri="{C3380CC4-5D6E-409C-BE32-E72D297353CC}">
              <c16:uniqueId val="{00000000-F7D7-4F7D-BE2D-6B056D0AC380}"/>
            </c:ext>
          </c:extLst>
        </c:ser>
        <c:dLbls>
          <c:showLegendKey val="0"/>
          <c:showVal val="0"/>
          <c:showCatName val="0"/>
          <c:showSerName val="0"/>
          <c:showPercent val="0"/>
          <c:showBubbleSize val="0"/>
        </c:dLbls>
        <c:gapWidth val="200"/>
        <c:axId val="825403600"/>
        <c:axId val="825405040"/>
      </c:barChart>
      <c:catAx>
        <c:axId val="82540360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crossAx val="825405040"/>
        <c:crosses val="autoZero"/>
        <c:auto val="1"/>
        <c:lblAlgn val="ctr"/>
        <c:lblOffset val="100"/>
        <c:noMultiLvlLbl val="0"/>
      </c:catAx>
      <c:valAx>
        <c:axId val="8254050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82540360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bg1"/>
      </a:solidFill>
    </a:ln>
    <a:effectLst/>
  </c:spPr>
  <c:txPr>
    <a:bodyPr/>
    <a:lstStyle/>
    <a:p>
      <a:pPr>
        <a:defRPr sz="1050" b="1">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Total Health Care Spending</cx:v>
        </cx:txData>
      </cx:tx>
      <cx:txPr>
        <a:bodyPr spcFirstLastPara="1" vertOverflow="ellipsis" horzOverflow="overflow" wrap="square" lIns="0" tIns="0" rIns="0" bIns="0" anchor="ctr" anchorCtr="1"/>
        <a:lstStyle/>
        <a:p>
          <a:pPr algn="ctr" rtl="0">
            <a:defRPr sz="1600">
              <a:solidFill>
                <a:schemeClr val="bg1"/>
              </a:solidFill>
            </a:defRPr>
          </a:pPr>
          <a:r>
            <a:rPr lang="en-US" sz="1600" b="1" i="0" u="none" strike="noStrike" baseline="0">
              <a:solidFill>
                <a:schemeClr val="bg1"/>
              </a:solidFill>
              <a:latin typeface="Calibri" panose="020F0502020204030204"/>
            </a:rPr>
            <a:t>Total Health Care Spending</a:t>
          </a:r>
        </a:p>
      </cx:txPr>
    </cx:title>
    <cx:plotArea>
      <cx:plotAreaRegion>
        <cx:plotSurface>
          <cx:spPr>
            <a:noFill/>
          </cx:spPr>
        </cx:plotSurface>
        <cx:series layoutId="regionMap" uniqueId="{E5B9242E-24F5-4D4F-B993-7808E17AE913}">
          <cx:tx>
            <cx:txData>
              <cx:f>_xlchart.v5.2</cx:f>
              <cx:v>Total Healthcare Spending (in millions)</cx:v>
            </cx:txData>
          </cx:tx>
          <cx:dataLabels>
            <cx:numFmt formatCode="$#,##0.0_);[Red]($#,##0.0)" sourceLinked="0"/>
            <cx:spPr>
              <a:solidFill>
                <a:schemeClr val="bg1"/>
              </a:solidFill>
            </cx:spPr>
            <cx:txPr>
              <a:bodyPr spcFirstLastPara="1" vertOverflow="ellipsis" horzOverflow="overflow" wrap="square" lIns="0" tIns="0" rIns="0" bIns="0" anchor="ctr" anchorCtr="1"/>
              <a:lstStyle/>
              <a:p>
                <a:pPr algn="ctr" rtl="0">
                  <a:defRPr sz="1000" b="1" baseline="0">
                    <a:ln>
                      <a:noFill/>
                    </a:ln>
                    <a:solidFill>
                      <a:schemeClr val="tx1"/>
                    </a:solidFill>
                  </a:defRPr>
                </a:pPr>
                <a:endParaRPr lang="en-US" sz="1000" b="1" i="0" u="none" strike="noStrike" baseline="0">
                  <a:ln>
                    <a:noFill/>
                  </a:ln>
                  <a:solidFill>
                    <a:schemeClr val="tx1"/>
                  </a:solidFill>
                  <a:latin typeface="Calibri" panose="020F0502020204030204"/>
                </a:endParaRPr>
              </a:p>
            </cx:txPr>
            <cx:visibility seriesName="0" categoryName="0" value="1"/>
            <cx:separator>, </cx:separator>
            <cx:dataLabel idx="21">
              <cx:spPr>
                <a:solidFill>
                  <a:sysClr val="window" lastClr="FFFFFF"/>
                </a:solidFill>
              </cx:spPr>
              <cx:txPr>
                <a:bodyPr spcFirstLastPara="1" vertOverflow="ellipsis" horzOverflow="overflow" wrap="square" lIns="0" tIns="0" rIns="0" bIns="0" anchor="ctr" anchorCtr="1"/>
                <a:lstStyle/>
                <a:p>
                  <a:pPr algn="ctr" rtl="0">
                    <a:defRPr sz="800"/>
                  </a:pPr>
                  <a:r>
                    <a:rPr lang="en-US" sz="800" b="1" i="0" u="none" strike="noStrike" baseline="0">
                      <a:ln>
                        <a:noFill/>
                      </a:ln>
                      <a:solidFill>
                        <a:schemeClr val="tx1"/>
                      </a:solidFill>
                      <a:latin typeface="Calibri" panose="020F0502020204030204"/>
                    </a:rPr>
                    <a:t>$98,638.0 </a:t>
                  </a:r>
                </a:p>
              </cx:txPr>
            </cx:dataLabel>
          </cx:dataLabels>
          <cx:dataId val="0"/>
          <cx:layoutPr>
            <cx:geography cultureLanguage="en-US" cultureRegion="US" attribution="Powered by Bing">
              <cx:geoCache provider="{E9337A44-BEBE-4D9F-B70C-5C5E7DAFC167}">
                <cx:binary>1H1pc9u4svZfSeXzSw9Wgjh15lYNSUne7cRxJskXlrwMdwIEuP/627LsxOZoEp86vvWWOKlxJRTE
Jh5099ML4H/fDv+6Le7X5t1QFpX91+3w+/ukafS/fvvN3ib35doelOmtUVb91RzcqvI39ddf6e39
b3dm3adV/BtBmP12m6xNcz+8/59/w7fF9+pU3a6bVFUf2nszfry3bdHYn9zbeevd+q5MqzC1jUlv
G/z7+/P7/t3hutQ2Sc39+3f3VZM246dR3//+/sVH37/7bf6Ff3v4uwLka9o7GMvogetxF0vK0cNF
378rVBU/3nYEPuBCuEQiub1Pnp59vi5h/KvFehBqfXdn7q2Fl3v4+bfhL94E7h6+f3er2qrZTGMM
M/r7++sqbe7v3l016+bevn+XWhVsPxCozetcXz28/28vgfiff8/+AWZk9i/PsJpP369u/Q2qs7UZ
i3V19zRT/z1K1DuQnAjK5Qwd90AgTCSVTD5cgN52ZWzReY0ku4H5MXKGyVm4l5gE6yL9S5kqXT/N
0BugIg4IZ64r8aNu4JfoYCwPXCyIwAxv4Xl69had18m0G5/nY2cIBX/sJUJ/FOubdfmW8JAD4bqM
uE+ma2baPPfAY4hSgsgWHVCu58rzCoF2Y/N94AyYP073FRibvyEuLjvAjDGBCNrOO5upDScHREiP
gVf6GyK/kOQfAXkYN8fjZD/xMOmkqjcEhLIDcCGEePjRi4gZIBgfgCJx6XL3gQTgGSy/FugfcHka
OAfm214Cc3lfVXYsuvWbehmGDjwJTsbb8i+EYPZfMDRx4FHPk0I8qpP3Ep3XSrUbopejZzhd/rGX
OJ2l1m7+aJ0+TdUbkAHwNgR5wuOPzmRG1TzgAtwliBGyBdJ9evYjVXudULtRevFGM5DOgBLvIYk+
qu7S9ZtaOXkARE0KiGS+u/vnegR0ACygh1z5GAmBW3pOB14h0G5wvg+cAXN0vpfA/GHydWXX9ml2
3kB1GFg4sG8UP+oOWLDnyEhywKjEnPNHG8ifnr1VnddItBuaHyNn2PzxcS+xCe+Ldb9+y/wAlQcI
rJpLIPbcXi+xEfyAuZ7LKAYIN9cMm9dItBubHyNn2ISLvcQmUIUy6zv1tHbfQG8gKyA9zsGnbF3K
jBlgxA84Ex51Z2mB14iyG5QfI2egBBd7CcrJW5sy74B5TJANG3u4ZpBI74B6CLzMkzoB1X7uZH4t
z25cnsbNUDnZT98fqKq6v23S27Z5mp7/XlvYJpPJMadPmc4ZNAIIHPWAApCZCXulNLuBeTF4hk7w
aS91Zgl2LL1bvx0yxDvgknNM6Jwzg+P3BGXEo1ttmtmxV0iyG5XvA2eILPczQ7NJwh/fG3s/vh0o
EHZiClyZU7yde0j8Pydlgh24EOxAAWTr9+WMLr9Opt3wPB87Q+j8eC91ZnWvTPymuWdy4DKwVkw+
wjOzZh49gBwbFQw9cuaZ6rxCoN3YfB84A2b1x14C8/nelKp6SzfDDpDgBP6DGX+hMICYS1zpenSr
MTM38wpJdiPyfeAMkc/76V4uzH2sqjc0ZPRAUg9iFOo+WqqXuGCCDiCyxJiCCj3nYr8WZDceT+Nm
cFzsZ0h5rkyTvAvXuWre0OUzAebJpcgDH7O9ZqAgBHHlJin95F5eYvNaqXYj9HL0DKfzcC8N2SEE
/ukb5jMfapcQ+SMKicrndgzyMAdQi97EnOwpxHmuNr8WZDcoT+NmcBwe7SUcf44K+jfip1X7BuEL
gWBfggP5hyQZRgLMGBTWIHv5pFHPYXmFQLtx+T5wBsyfX/cSmKO7dfKGORjGIKCXSJCnEv8sd4kx
8GQuqfDQzN//UpDdcDwOm4FxtB9G6+d1iO1y3arKi0/+hz1NkLPkkGARQH+/h43PLZiEnCbeZMWe
umbYk5pu88mzHqN/Fms3QrPhL95kPxqY/lxDl1kVN29Kw8DjA8fiwhNb8zQvMj/QMIhpENtGNDM2
9jqZdiPyfOxMcf7cz7DlLIUMmX1bSuYeUIgmodLyGDECAC+0Bto2JCRigJO9VJdXybIbmGdDZ7ic
7Wdx7Kgo0kql9mmG3sDvQx4GnAuDNP9Wb2YOBurKmEFww78Xnp+evTVmr5FoNzg/Rs6wOdrPLNmR
6t8ygiEQ5zMXvMyWBaNZuC8pOCGEXPzIktGs3v8raf4Bk4d3mOOxrzbMWtWaN4xZoE2WugKqxI8u
BM1ylptCshDg+PljsXKGyaaN4lcS7cblx8gZNmd7WhcD0tPe5uOTLfnv7RiF8AQ6mAlUi1/6FY9D
3wWUyyAfsDVwMzZ28gpRdoPyY+QMlJP9DF22aYtgbRQ4mTc0ZRQCegohCqePLmZGzQS4GI9DDs3d
tv/NTdnr5dqN03z8DK3zYC8DzVPVpvaNW5jQgfSAHbvQGbu9XqqSxNBIgz3o5HwEcqZKrxJpN0bP
hs7gOd1T77NOq/u3M2+MA3veNMk+K+w/Z8+uPCDYxQw4w04rd/YrcXbD8jhsBsnZYi815hP0z8Lu
oPs3hAVMm8egvR+8znba585nE/RsnBJ7NG3A4rbx/pY9v0qk3dA8GzqD59N+xjYfE9hi9e7Ivu3W
JmjLcIlH5BMlkzOENhvQsAdtmdB//nDNEHqtVLtBejl6htPHo71UozOoZ75p5ywUa2CbDMcSqskP
1yzUwQh6mxn0b7h05nBeIcpuXL4PnEFy9mk/IVlbu75NWnvfNPbJwvz3nJqRA9heBkV+8dgfg1/y
AdAdF0EqlHqzNrOz18rzD+i8HD7HaD8Jwabp5Ox+SG/fsDoAO2sYwRQ2AP5wL89ZAUbuAUbQEACF
0KdlsXU8r5NmNzzPx86wOT/bT/1Jb5M0Xr9lVwD0nIPeSOE9UumZ24GoFJQKdgts9gxsrr+lCn4t
0W50zr6/ywybs/10N+f3N2b9i215/+GedHD5sGmWwr7zrb+Zp3HkAURB0GT7lKmeVdZeI9FubH6M
nGFzvp+M+vy+W79lpyZU1ih3ocb8lCmYaQ3GLlQ7IVUggLFtrr9ZtV/J80+4bMfNUfm8l9bsIknf
0MdAoyaDngyo3eyudnrQ14zgeAfvH1ppfiXNbkS2o2Z4XBzuJR4bf/lVmfzJA78JMYMzGQjbbC5/
uGaMGXbNwFZABOduPGYDZt7lNRLtxuXHyBk25/uZ8/zz3jbvPqfQPPumm2qhUgAnA2xaBP6hfRbB
yQ1UADF7vD+LOl8t1m6UZsNnUP25p2YtL6C15k1PcIDEtEehMPC4I3O+9VlCTQHYM0LisadAPqnw
lkRfvEKi3QD9GDnD5mI/zwy4Uu3/RRcnhDcUbBicELQlybPCAejOAaEIugrcWWLgtfLsRufl6BlC
V+FeOqHtO/0fFHeg/RlBpxPBPyzZ8xDU2xwvALsEMJxW83DNXNHr5foZVj/ea45WsJdofbof3nQH
NIZuZ+oxQGHLF2aJHOhYo8AlYFfh41E1wLtfpql/Ic5ubB7fYgbJpy97Ccn/AUkA94KJJ6GnYKsa
s2hHAImAEJTRpxzCLA59jUS7gfkxcobN5/3MrV036+Rpxf737HoThULWEzalP/KCWX4ATNlmbxoh
xJ0Zs1/JsRuN7agZEtf7mYn+M7W3qrLp26bSoJUWNgrCQVvb62UWGjrUoO8DNnjK3bs4XyXSbmSe
DZ3B8+f/p2TaPx8r+P0UxnDdrBcPxzc+O1nw53cf3h5OlpwNffQBW426fX5Q4pOyHd39/p4wIF/f
D4XcfMUL3zFrV966le/j7te2+f2947oHUlAK7W7QNw1NopsWkB5Cs9/fQwFiYyUhgw05BjgNzwMj
WW32DP3+HsoPFM4fgH6rx13VdsNCYQicW0AJ1JMkhjSfhAPyvh+deamKEXZ/fZ+Nx7+/q9ryUqVV
Y39/TyEU09uPbaTcPBG2cEkI14iAHUOwJxLu364/QgMzfBr/vwJnpsJ9zu89HDWtXBDNtFMESHfp
9JnzVudr5hhul1U92pGFDRl4MgSOitBNXBlWOYEiQy6OZcLHNsylU9WHvSwLe1bwUjujr/KB6xue
N9mgQpirIqNBLATD92JQY/uxSAZRrD2P6+iWlrR2z2M3rTX1S5xaEIVpbsqLBKOmr8K44CbXvup5
WZ5iMdYgclyWeDwhJa2yvxzbKRjzDNIdkwRE/MUcwUZewiSk7jYnScF0wYp4PkcCl2mbuIl3H/Wq
yurDpmQFOyxYZ404nGzcpH0wpRrOUCxQlJJo+fPHY7DIL58PbXeb5i8KtQ5oiZSb+88wmjLqWRe5
6V2Gc5qnQaMop4kvJXHqbGmGPjZNaJImZonvMGfS1WXP6GhJgNnk9vS4cZPK5r5SNTX4HKrJNdz7
uZCwhJ/LCDudKIVOWnD3kJXZLMuXMg5J6pDEUOfOdUyHSBhPIhb1svBYQ5FfmcZ1v+UcRQ2Ynu/q
9mtsNs9lEs6MAG9GoMF6/lzdjkooh3p38QhrzvU7pAv7JWERqWK/z9I2vagiOLS28ZNEgc/zf/54
iJFnry2Ad8JeYskgRwg69PK1Y96lDhoSeueIQtQ04D1y+RoUyWmO1JSK4jx1sMJnNK/H9iq3CE2J
D/sHCpiUn0sCdOmlJJxA/z/sxdwclAX7Z2cANG6KsjGvottIThU3K1XrMhoXTlRaOa5GzwyAys8f
+feXh1Q1NH9Az+hDlIRevnwikqjIRmTumNuDli9H7E44X3LTt5YtUi9i7jfTwqzXvnWBkXxTaOyM
XHSpQrr/xULAM0smEJfAJh8UFTYVwUEhL6WJ5ZRxqRvnBs4AFqVzODTJRiHKQSVwDm7bZ2xiQVra
kWh/kISCVDxFSXtVajcbg8rBprqSZVKaKqy5MuRj2aWVvfn5nG3s6TN7K2AXBzRrIij4w3EaoC0z
W9L2kWdQPQ03g2kMLALU5ggmCw095Y4/GNo5V5rk9UZpml5tfqQ6bv/TyYJaA/RfUzivy2OUgWl7
OVleTWwzWlfdVAV3wIZnYL2m3u9G1Iz8hEYc7L6NWzjNqsx4BRbV6NJgfug5mdPlfp2Atd1Y/jGB
UVU6Fd0JG3Ktyl+Ylc2hlbP52kQQZMNIAWF30//63PYNtK+0rCZ6YyPiOuUia6wu2st6alJdBX09
1iCcI8oO7qmxLtUYevk0Ole91tGRlabI4qCcJjSelEldNZFfSeRGTdBy5BQf3VLGUxnA4RoDmETi
ZCOujtEkC/jWPI36uv6FmmIIRp+9kADHJl0JBmND5+BMSDyzGBVqkigbtLxFGeHuN0YNIE7cnAP8
hpYxOex6r6vKAJXMEOELU1iR+8WEsA0aWg3iOutR61z9fF0+urEfSxO2SEAnMUTIkHWHpggPNn2/
nGqE6kqJNLErMxGU2AXhw8aSt3CCUqv+slMFxiBQNta9lX4ZTQl2/YbHDS5PwOEDfYkDletmoKeE
DVWGLsuIx7E6HOse9Ok8GtIcD2MQEZjqr7auyzpemIywql6URTuRJkAKubYMPcNRWpzSASvqXsrx
wZPkrtc59CKqSlwPZ3mcdBLoRtu5KZY+ysDNHdaTK9IyLJxMgw4XRcelCYQDwxI/L3sBP+JCeaD4
7piDOSLSJO1R/jCbfVKSjAfSGUZYSX1HHDAhinhecV6RFqYbAzNpxTm1BYcvcDKyUVENCwtwQ9rD
U+rntinx5FfWyCoNXS2KrPVVCru4TeDWjQvPR8MAcMsshv8Dpelhfqfaq020FHVH6yOBnNwlC+0p
eGSZDxntjlFPojQOiqGEYxlXxVAXWXFNVZtJeu6OjWT6KHORQ7pjbjsDy3hMaQ5qKfvR0jpM8raU
3cc+GwStSj9LGk9FgdOquEelX8PpmJxcylpq0S/iGlqV6k98lN2kPiE0boxhhHNE3HPV2F65n1IN
3WZxCOscTPEyMTXGWVBiz5q/RkFq6x1zd+jJN8yHsfHOWdlH+kMlZZaTRVZZBxW+hibdoQmABoMd
WlRqBGzDfiCTGX3kDFp1QQ3LnXvByMaoP82lbezkgyr36XHlSM84wZAmyK4YKpr+xkVlPiZhxCJd
VX4pqtJ8qerac1rfAzsIsz+VZoNaDbYkdk+9MhVAnKqkcEkbRLzFgHzJWAQAjVXjwY/t0ihS4Ozf
KlHkLloZCWxC+51Bbol9Y2MlQAyS58Tvc6eTn8CgK+9KV9IplmXKY+4ncdxf8THlWTimfbRKWUcP
U0Sno9IM3WFrYvVRGJcEg+TJuUibAgU168ynCBb1IYu5sj5oX3KTGV18iVGqwkHiqPC9gjYrLLEI
elLxE0+jbyoHdax67Z66fapDwZIE0EWOWWZiYItMpe3FlBUNWsDKbRbeiGgBK9YtbxPdXhHM9Ilh
TnxSdrZZcMuGAJx4fNipVoaJ7L0PQic12ESd3qW2jsIi0bE/sqoKeSTrY28i5XKMqsj4leYMvtob
q4BllVj28JVHnjMmN2ZQ7Qp8RnRXy7xY5QMuJn+UGV8mGVJXmrlk8osY1dZ3qIqv+2Hy1oVTcV/S
tvzUeyRdINKgY4ZkkvrKcegpa/i0NI2F5thMRB+Qw1Pgeg2Vd7iMWecLrPHHjmRJutRj5SywLZuP
tmPN0cYUhHYc2mNqzZj7vOy9IBIySrwvaUfkeAQxQXtrCcvwQrW6MUGclsnod1AvvvcaLsrQiRxz
XEqueMhwk30YOpoHnJfqhNsG10HkJWqNMqtPB+gPPLEu3qzQiKfaZ3HXHw+mHc6QyLsjr1TOcZrT
hIQeWL873Pe08qfJw4nfQEz2tdd1f187zhCQFE/QZJYp4stIQ+g1TRZWblLowge2adpQT30+HLtt
XMc+wjo9H7EAQ1zqIeh6WtBj2Ela6GMz1GZJdEtOeFEOfkb5Z96Pt6iNonOGQX062zZhKWqU+vFQ
diLko6ILJprqXCfMfB310C0zRNomtn6b50OeByKNufadlrJ119bKp6SoVgr4jU9Q2XwYcJV/sMnY
5EHeNPF1nYz1FzPokvj10A5BhI3O/Azkoz723CgHxRuSKWCD119KYpMiqKYuW2elnnwnRuVn2FJY
+1p3+INUzDvSxHhBa1B0zNKKra3nDqfZhE3na8VaeGjU+FHr1MEYt/Gp6zkq9Qucy7VxoEcg9Gpd
Zz7PbH3p9m6+BEPvuoFMJ3HYYJVcAsepF7RPzDVRlV517YBXme7ctaHRdZ9N2fVUl5O3qjUb/awu
4/sRJmSVNKJtF4qj8aoxkke+YfV4gvO48VHSdUeuzPWqFpJjPxZWXsuqkTd00PRTZiJ1003ddN/C
Ag87ocgZizK6QuApwnqom6uSKsfnfdWdOsbm3yakqhUtcASstp3YeTIiBr5sAIuEstRzwGvn7iFs
KooCbatslfPWXAMvpiB/R44xqugyc6n9WuiovpRVYg7xWMirsjTTSWyzejEIMLl+VpXpecVQc2xa
1l9WNjKfjOexW5p3YBxIPXbnbCxBeWraX2DatCeDEf1R2g9U+ar1qlXklixMahei0x5s3tHkmOg0
ihLzYSJecu2B3f5aT17zCRx+fAjKJs4m7DTA/9x0WciIn6Z9gWnQlLIIvWmsKKx3Uy2n2FGXee4l
l/GgdB1IXaCl6bP6q25aFvsRn6ZTI1l7AiQv92OnVJ9iOskSbHY5LKjIvUOshjjo9MQuvC6mq6Q1
zp0TEeDvpyNnUyqDsRwgBR6KVpeed5pz2olmgaBZomj8QurotHd0fClbXJw7bKw+F41Zw5jYt02K
P9sSGEzWiux8kBmErlzj9FgqTb61TtT2QZH06GzsRHudkq6rVwkpKAtkgsUJi5TxlhKVlTwuE0+H
arBs8rsy6UNPTqXws6mRnV/SqDpXjkX4ZHRqAXPtor4xp7Xs+mKJB4P7o4rV5QUdmPNBVDLVgTuY
RC0Sqc3HLE67cmEKNSYnZZqrNHRMxSGajCLsrERn7fRx9CrTJqsN9UChrAc4yDOHWVN9nB/nEK2a
IsACmEvAyzbqzvKizWxAWxx/6sWkxkChwj2FUCfCYY+BIp40EOA2n3maTJ4BO2J0w10gTnHlxNFh
17jimJMBVdmniY4R6fxxqJFsjwkYO3TksaQbV3UxViZMOsvbK+nEeeb3JC6k8Y0TxUUeOEwOVyl1
pOuThBUf1IidadW7dMwCJGqCTnuZDVVATI3EmSjAnIYQXEyhqqb0OCNNGsCvrsiPG2ccbHZRjI4r
JwrTX6GhDDEiZQ5B0qgJLy+ahmVeE45u5hbEr1qrQB+8ydZBi0dSLhhui+Q0T3Tm+mWlhymYmqGu
fFqO05Ur2iw/rFLG1SLueX+Wp5BiDLMhHQ5pzLAXuh5KBITXmcFHeWx07uuWi9En/TB+chvSnDtc
DiIos4hZX7CcmmAcY/cz1o656yRQE2r0SFZKRZgu4i4hLQmAwiWOChrrtNbtfZG4H0eHKQHErPXG
tAjAkjbwAYWcFJqCwQjVnrtIdKF9Htd4kIu8FFgkC00GxfkZdjq3vc68qowOs9pj67jrvk1TEl/H
if4WS80zH8KE8qrvRbaIvMisEDgPBEbCNVeuJ6aTYiTFuaFpu+wSIwNd60n7AkJc7ZclL69MVbih
Me7ot17KwL52TXnbxNG0FKoo/DoeojOdg18J8GD7OpzA2bBLaRN6JbgxJkw7LwLil8CC8Yc47e+w
0vkHXVfWW1gh4lOrKnXV1raJF+0Qd9GRW5Wx8J1ykEelyuqQVHWxzOuIX1U5wgvZJOokj7hzRvKB
nRDtdoGKLQpyCWFRSEgEh+G3ol1NAyGFDwejFWWIZFfbhcauOre51zdH2vSRL22PhqDO4yxgru20
L3EZQfxdOlV7ZF14ucWoHHw1RXD4ZERsUa8yJ+lCA0rZ+9OYm3Pw8uD8UzcvwjQDfgEiRB/B66TL
Vkg3aCudfM7SGH+DfpJhOeRYrhSS5VJokV06GTJBV7rJF1SV10WGIJKCwG0pSJR9VT1plM+pUl8p
isxxS2g0+JEZMi9Ii5YdR5rAS8coWrJ06ALYc0QvMghLjrsep7d5QsW3PIrxlxzT/rTDFQ25rtUR
HePxsxIFyTc2bdA+zVB95kYRBd4KxnGzCNkty0sIxMaq3Hjtgdgb1XlOuijcNAUPVULIclTxKlWB
NenQhE0xKQgERJ/hgBZgR3zXSTN+VmhLbpIkaXKfFCCDnxUi8YIcvjeoXBfWRDJqflS6LREhhPBd
YYBr5fFxqVXzp4aoLQlyTSn6Bo63N750vL47dJrcDRudOYdpzcm1m7Fkiacub/10dPQF50N203ae
BvcAkedStZC29FXE6anlnjnR44QL38RAaU4H2+qbnDRDGlhmgNimXTHcNs0IugJKCXFaq6HP8a7r
JdyUWdctqqyjx5DCiCNwrsMEZF7w7h7OsOiiZSmS5oSNEL/5DtCRJiyi2uELpy4hX4Kmjn9ubFF8
FbobgtxSGxbIqdF52wt81UCUJ5dRAxzOd5s+KVY9kKpjsH5VvxjqJMmAykmgnmayjjqnSY+doI0o
JFPGEnG9MLqD7GxtNSyigCVlkrG8W8adq2tZ5kGWA0kzi00Y2wXRWKcEODWtoulLZdsqvyAK9zaE
qCLKwaRJV006MLiNi3HlIJJV7MJtaeT5Oa5Tui6gAcqpgs7xhixawm85ygd0lifKVTKAaHtg2m+n
pLRtIMDh8jFMMPitwm8hE8bGsOrGqMxPRi+ClE5gWwjA9GXRQbmH+gOkyGS7NK2u0y9xnDMVhz2o
iujAfFNaGb8bauU2yxi4WnXUJq1T/mVrO3R8keR5WlYLXo84v4oQcUS30k6WNlVoRuag7DKD4gvg
wBxl0zbz27bqhw5ShPD696UDDa0wjzarxlDqZOBfOIS4yVU9wGr95mgX8gdNISHN4BAcDfoEio8I
ImEOdhwiYdDDSdzFLEKDu4Js6QT6VmMr06+t7hMn8SuvHycHItso611wEWCOm89tAgkF77QBQjmc
o0yikQVtbNs6X00pIoAWuLxMZTfUa6uuDHnRtGN1Qlt4vcmHX1FGiA1cbmkZXdGG69RduKpOUnqM
2rYeVRTStAGOA7FDXC+19jKwx06jwpwX8RlJIGrwIy3BYo4yBRLlsVXaiHIc9TJhHaF1GlTARoqe
LeJqYGmx0H3PlITcQaW80wmon7eInMKNOr/pIqlbH7NasoUYJ8pWhpjys/ba4tqZlG18oqBw57MW
dGeB3aS8Q1UOLAsyh4nJF8q1Mgk7Qyox+BOpmw9QbGnHhwzlsUzj7pIj3h3Suk1PFYpokBO3Pcvw
OJYLTcvmqOkkWlGotl1lcujFUQ0UTvi00iPzh6rPq5VpEAmawdN9BYWNLr/TE4pyMK2sjHwX/Ggb
NnQaP9rU6QcgCE6xAAYKEWKUac5XxmVNGUalN9w4UzSM2sdxX+OPXp7mPIRf0VfdGtjFYXybdRAa
VJPTQTRiMpwsgE4Ye9gmPO/uYmfYZFyAUZMqmPIkXkKNq4ucZdnCufbXLallFUSIKbVgI7KH2Crx
tegKBglLEZFYBZBQTDlEqGK056XnojYkiLfNFzv1JgZwdFQmQYVl3QFBwuSEMUhunccQeZc+q4GH
nw26ZYPf01wsRO4Wx05slW+nlkNi2uvOdTnWARlbG3oVl7UvnCZZQc4XgBFD7Ph08OrDWhd1FrSQ
MLuZss7A2ojkh9ZBCt5z0ksX6+FyBLBDJiNPLrJW9fdOtiEFeabjUwfMsP0GwWWffBBZaTasi5L0
EBiMe2yY4OkNmEg6rmjHso+qp9HZUDrxXWwwzLzXT8NhE0UtZEamKR18naL+2ht4e9mbIoFXgBJg
7feiVGBNRZn4Q87lRwzpQxHKTPVHGJIWadjTOP2zpwxqsDy37LBiWRbUveFXdRSrZUMq9MU1FvtS
DFOYmGK6YtROow+1o/Ec6tEkDUlrOyiIFZW2vkw72R3FrlFg5qtpsH4c9QOIK4vE7w1Ew4GuxEiW
ZHNOmw+/hiK1YdzRDkyvU0aQhWm0iFqfxrYGUlCN9oy2uj2NCe68EPFYi2XWFPpTP4gGL8emgrcs
c1d8YybxYr8EAn5ROxvGa6HFq/KBU4+p7+aRhMJCXqdJCA496yEt1PWXUwkZAH9ytXYXeTdlY0hR
mS6meoAxMef2KB5QqcOO6r96m1QLEtkh6Bs+fhVgLbqToamMDou68z5abpoWHsd5DQFBClmgkqgz
WkTkxEuKXNxIJxpL3+D/Ze7MeuPWtTb9Vxp9r4aoWUDjA7pUVZ7iIU7sneRGyChKouaBkn59P7Sz
z44r33Fw0De9kR0jtlwSyUVy8R2W0vjKsqTzZVV5eblY7XDnVkORiDxyPsMoTPWhHsJ4TXJ/KMCb
tZev+0mvxbBTfTSmh0nmkWL97V11VQhn9Y9joP1HK5XtcgNyVbqAAU217lRbiY95XGfrrmpFf9Ok
8WAfQu2vHApip2fLTG2/OlSikO9Lf+l1wr5JVkd+vpdu30Wm34Jb7WpgaNdp0ptIVe6Hbu1Ftpsn
9dEdquZDPzbNjhJmYI8j0yaKs5mQV/3HzNJ2Rm61WIlF5nHdT1AjA7jLpzqbrIu+YFLv+7wMb8dp
bC5Hv6sSTuTlG3CB8NxK7egRxDgPCYMs+NI6m3tYPHu4n/vVuSgpyOUkxRxpk63Z1YUf10A84TBE
54Mr62C/xRaJU5XHy1ntO7O6R2mQ73vArX1PqHtJ5/rTgfRFXNVrI49VocUHma7Lhzgdxa4dJhva
2S8PVaTSH0gH7L3ne+NDRLp/JrxUfGmyufxg8yv+zlroOMe1PvSVF10vnZWftfPIrIumz03VjHft
ZK/pLhobWzAPtrs4s0oyGuFVZ+wHfc0xY3D3UehfgaJZb3Tn9H8VgB37aOGg0qHH2HaLFM2jFSnv
XSFdr0o8UP2Ltq2F3+wKrUrX/bpOoP/9oWzBg/ovbFBlNe8hutM1/MCJtqna+94bGs+/HQvZscoP
vM2qg+7v0I7IHat6UXVwDUXrNrfeuhqyVzuLIXvdxoYDvbAnWRXbRZQW6/iQ5ov2v/q115TnRRNV
o5ekXm+P1j6afU/3LF5lHHwKqwoCu4hFHtj7eezERtoY2Wue9GXQ28vFtC6gmLsANcjR82odfQrq
2rDsXVuqRbGO+dL29+R5dQVKugZZdug6L2vmi6UkjS+Oy4qOhEmDLdrzd+ss2+a73VlrOOwDYP0w
OwytXkspd1uelQgc2iwVkBvEYAcNkhXZZndvZzcaOcLk7hL0/WMT6XQu9nrzI859OK7zpbgpimaY
mv2gqXIsDnbrTkP3ZSq3Waw7PqXN10Q3HinZbmslK8N5ihakiBMQa9MSL8jsWJ3JbJnD7q/JyjbH
3+VpVPIzpMJhsFxZ48CB+apYh1QFyWLHUTj/QQPykt2HNcRsEcDvIxSDpIOTecnN5f7qhH6Wh9/K
pjWERsUwMfxVGSsG3Gqgpf5AVL4UvZg7IjWBrDT6BlwCRgb1K/EKOBeNtszq79XzHefcbzlouX7d
w1cPofSmPhlne7GcROYFpOAfmnzClKLpCEgfKPltU/iQKqD+CVNKVlp3cz23n0LgdRia1oap6nbs
oaylidhCw+sxT550Jpwz+dn0JLxoRWo4nEWPbtAdJ+3+WfrgmZv/Q5aah0OVh+RA8OKFCETqpHtA
ugd2v6b91PboDUCEOa17146Q7nrlDtPKWSfmkLg9VkT5Gu4m2etOJhCqOrjPui21zll5iu2xNxDL
TZQHRkq1eHOl4rNy8g2R3Qwc1cCRzLHtvu2LcnvcVFCCV9pKGXlPDk8Nld3UseSb7sobAx+jallg
uV2f6Z6SItnZGO1bcu7hCJq08Fsl6AZSrO7p9nGUWaveRc1S8BENnCRPnlu1UVGNrV+Vn5chqLv2
GM+9mMklmm180/clPI9SVe+wA2RptZxnHjKkj3VUp94jqaqARA2jDEXWDKuMmOt1tvrldHjq/ZBj
G4HphQEvWTgJDVbHOhNgup82UQ3si4tjhyQzuikadeFOnSZEX7/jqW6Dms2e7UA4oN9D5XR6x6G3
B6krV390SToJRj15hht14OaROQVzB5cPKM85AKxxGofsOnymHl9/DPM6lRdx5/JWVqY66l3evOoB
9r2clpsLLAZuWT1WXl2N7m5sJt/6ziGqQ7chSeHEoU/DJr+bhyiDBG6l32SHLBqdudlRSUwrjj5O
1l2pNAreLW6vonU3aBHM92Nk2XnS+dvSXBFEYDwFFIFhqtJAGFkEK/p838yS7ekiLcrRaCRm7K63
iInDdt25Ze8u89nrLT5VgEQuGwvCLFpNa13Uky9bXAaprHU3hA/zVNvI/QDrHOR+82bilteget65
FBoEkow5NhhDNj5pAC02RTMrpgL+/F26BCaknS6HCz7PW7Z+xCTdBjR+7NTcsqVs/loy61JdGfWh
WKOK2RmKjmn0epOclxoQ3nHkRwhAkHf4jCCuhZPVvIOH35qidh6iUbrMrbHNzAOMljuZqfs0j3FA
rjxbKhczxVkrzZLStx2SHEsKBI9i8c23mq7EX67iIvTO4UJMP3QrqNdN2i1clUvXNHHNqmA4llbY
u8c26md3SFaUNTT3D017uW2YpsWCd84IportU3nzpGkjwGGopmZ9cMm16P6x7witTW1583W0oxJ8
ax2bbnsMndooiSqrEQzIElQqWw9bFYgxO8auNekH9Hw93QEi7BJ97ryxmtS5FRNinlatWd0mls3z
3GHz4ZyMdosb5mNq8y/UqIKugAKmK8YxBEZIfLgHpoSMnYJ/PfePWQrN+3tf0ySezFHevYvdhEXK
jxDo2r+JAoXevGANOuv9XIUNq8OzENCR0TKXCRpcdtU/yKSck+3I3NLj1UyOzbaE/uJUomoXDWK7
dgnfD5MgQoDmRgIKlRT94xWt1/iHVFuwRLtAuag6ztWc1oi7WPToJd0varwLg4EkEVzPi1gMmJDz
PdQPV3GMZeKPS81G9XPYsk7XdOWiopq5wiwyw5GVixkIQCyTqMVrgezEJpnmSXzQru2xDGAU/qTO
9eIT5R+NN5sAiwT1wjFinWpAEc4NEMHwHQBEgUp341S6bZJqOy1uUBR4/XroZB+00S52nLiQu77v
8u7SVpO7+LsWXZh11WeV5V2DQ4Qux2mYv6+Q8Pa5Ticv2Jdh3ahvXqG2/r5qgqr/rAFm9a03C5tT
dlTUsd+i3HC9YTpq7YNI9J1Ml2YXVHYl3rh2L+I90FQskmIZpz7dNSASW7GT9dwjtciWcmYyzFuv
V7VbLL/wimPsiMl7F6hx9YBkFzHp6ayNtRQpSrc0A0CSyIVUEm5KbxsCYEKxJb1eOY6DrRbBcY7D
DDC9spbtvQ4aJ3+cPJWBsnmjI5IVJW+z7oJsHOJ9nDu6TDJwtnPyz3HfNbbertK4tu0zoYV0jpk1
RNI+tGVTeQ+rP2el9RBzxFjeL2i+xmtrGGvrnh0jnL75fRD0D1s4Z3UD7d4IObyNl02VZ2mODvy4
QdRXzS4uG9eRSQhO3EVfRAVB9E066H+WPaGydt/jadQa7kDpQRTAJ3XnR3sUk74KztIK0P0GDYxV
lmdAx7Ae8ruManeklxfhRr13vbnNTEjD/g+tfIsHYwzsQ117bRteTHGaS/Wm9pcSIVoxZ6Oe32g/
zfL8mCJbmvz7tAZTvDCofRYdiZXAhV6bN4OjqiHKdQxx7AWcxmTaA0Zc6GywZH6m84rdBpoH7HHd
z20++R8aawL4vCA4tJUmGgQBJfbUknXFu3F1oyW4VU4Y8mV8/qaV54qfUZzA43bgkV73ZZu62Jkv
i6AHOT8Xi2WFYbIWfjmFZyjuRKV2vjebfRFVWk5zMtdnU/m8pCv2k6TwZexnt6tudRveFanFGfQY
lq7ltBfltMbRfBugAcnjXRfHJqsO+9GX5WOYpam1gcqpgZ6y1o4l+5pVu5P+leWmfajeiLzLhbor
Cg1gdkBrpofs8Lf0zXXMI60zJ3LnYGdyzbu9DRfXR/t6RLBTf3AyUNSOE72KARSzqOuSHsUwPetE
U84OkoC/mg/h+UlZdl0Xm5zekwOtT1oJZxQcC6lNj7lqLPnSDHK03tVVaJZ8bx6zKExiPTYEwAYO
HZyNcV9xXfvcVImMiO7rCnMyYi8ZUu6mpABAr0F6GBfRetLx/xJqMf1ce3HBodSarJ6hsGqkBt53
WNCYE0ef52RaiY7EGnZJHkl/shhBb+qmx7Gop7ymvyy5NWgKNk8s11ERmkfOGekW0pfI4g4uP+q+
pNZiAizoLTPyoPd8T8VIcsb9PAsuZYuNOs0zzBiXaOPP9vS963ZfsCZIvuejqQvelb6Xxm7i6Rip
/K4N0W/ah5/Rk26DQRXCwjKNg9p56oyJqOmTnzlu7G9GT+m4g19eu3beW+9+drX1fPnfnfx8HZpq
p7wOHaQRYSJq2MgvZR60eX+W1+5KoztnW7hX5oBo2u+QKmdNvPOfB6rZAB1AAMYVjdwFyPAK2CBK
uP3gNq6mhl6anUpxidPGgqdCEJ7O8a60V5P0ZpWPgC8BRLA7YLynHmxaZhDr2nObpJNzRkvapg60
OAeEMTpm+3lon8MD5ZGifwKQQb74oTKNX4JVEqeZALYmkfBkwDfXBpWAfNisHFIcfaJ0Tfc+B9I2
rRNPSSPNp4i8B/LmbBa6RNcwSvPozx1qbXrjH41yGy88WLZfl8UFUEO4tGeZ7Tv8ts5BpOc3z+LR
dtCMbz4jufwigqwmfKAMK9P4fibZvR1QH5sPdGbzxZuziC+qts10qDbfPH89BZnUD5PKVJYf6wyB
7TvZuSJzz8thDcV45T7HSl4M8Rie/exyuMWex1meVabsAA03L9q8ZJ+fBcoc+4HMrYjmfdtZY50n
9pCl3NwvJOwbDGyLC0TBSwInPOsswwbYFqUx+yvfK9cpKKJjSbK4rJduPKilOR+9xq6qRMWequZd
OmTgUwggJ66X8JF8IWn01U3VTfy9ovYNPvm2FqhzO1xP6maGUwQU0H3B3YUEiXoM6nThFJCum4l9
eNPA4FIuSB4Ky16qKTqoii22OixWDRYLZMlWtXxEvVqw3qAlbsry/KfxBpBb9sVxkorz7tfVG6hv
ct4Wku44c5/mTNdEil4fEByl26Mro0aPDyijpA7OoaVN05c4G+giFxlISYvKTA/+IdhsI1AdAYn5
mVhaEzUo+02IPztNoqHU/LaYHNPeMc8dIyYnwLm+yzGNWLtcbfCCON3LOt4BWaxBde0CMnNFAANJ
UM/+NOA9eAZZNuErRMlTjTTZucjSbuMztmeTQsqxHHF053sl2BPqYI6+VcXZqU5GBTDhX4Hvm/k0
ejrHrpSV0chS6QYpOPTNAERJN3PWM5035a6BCpwpKnEtFQrsG0B1VbTyoyY9S61LnQ59n9/EbmHs
HMieWX7CMnUDCDcE/2t6WNICdekx0K2vhj3QhQg8dJ8ccD95mSs4krMZGrhss7yNVqHbMNtG5aem
z2H9BMH33JPFiODgxs3tHOE1OGKVhm/LbdLWu55kGlRhg6IOPrHeEl+Wbjd6oPBs0wbExxaLP8dL
g1Ip+FCDBcRVo9tPQbzKTnzxFhWomyDo2hUthAPHaP1A9lYsKeBo7Cp/NyicQlYSKRH2j3g3dDm+
t7OuyDJ0yqsrl3sdktt03+I5nztk9CnCa7TJCOGrOLGcbSgfN29yvGY3sTvAF49CNOSUYeijQ5uI
8qqInWTmmzDOu1Dj4Vv2P1vyPJZdi4rRR8XqGil8+qRV/ymmj1EOEXVk/2by5kNlrkATRZ+lxZMi
3he2xRVIN8yFqQs6UR04uRsXWK7SlqmckS2mN9u4ivaAQMPA2DyV+cnPkP0pkqdwBj8ayAOCT2Y5
tbKkX9YeFko4vR3dTTLMdLPTdo1I21u3NHYudFebWZ5Zm4EDBxx1fPFIy8YLJOXEt2fj1LrB4WGe
vHzSd8fPN/L7mC0NIoDBfj6x1XmxhUbmCPn4tnxesNCvmU/uImFsO5bqDAg59EHvefsqq7om3SFn
hHyfnvHSUeN3nC9zJzNpnPQW7hHOyjzW9DThrKZkH0GQ+KRCbx1jyNzD9JuYDNPNKfOdLwdQ9IMs
lDEKPHcIjhmz6JW83ILP9QZhFVfScVUY/QH4OjnQg+WwPhDB8Hsgwr8ZcORI6QWcPc472TQBTx1m
2cJs0A3LbGd5ZgapZzB6zjvz7K+fpQ2O+gvOam4P7o3myLzjlvuf4KzIoxtLDyFQ1fPSWIABm/5H
WaioFPzasf3EasRsshH4ci8gK/4OzLH+F5uljsoOslfUf8eIXS5Nk3Rt6nm31EI0ER8H0oDgU14w
wg0yHObJz8Xx9Wd5CSH4NiVF+GPKxocuZn3Xefks6ew6wLdF9s7g88Gn3BcmH4crC93D1pA6/6mf
f78h1h+AA0o9O4CLpmLjr40vZW8LVdnp/bOAJCvZ8S/CJ5vMz5n9egOFge3+GVjTQrBb2w8RyDq8
5uMUyFxU4WX1qIL7nyuGRu/JVFoRYfr+cfGGCGV5m27920mjy9xXU23W8ye7lDVsHvvRH57oZaTz
RBylTAV4F5U1nNOpgXCNbUuHq9vdq+dJpcnrmOPLBKfaHfNozhkCaI+VmRm7bA6kFpY0DwL51k1b
Mnec7I8+amyfrRzryIrtp+24HGAyFTf56nKeTPSz8699XmZfb8TpMDJwnu3aFFIHkhXRqR+Vfbcb
ncWab+RQmpVpe0qE2sGvp7erFU0eb6d5bc78d/fzbQbS/GdecfAybMKFbISC+tPNz21vySQ6PLth
ZW3wyFCW9D+7H5C/qWfNxMA/5/22HLjIhEU95wXbjbFQkSSb0QhLxbyoh85sGK/f8OX6Az5LETMC
lVmIaw9E8wTPRAS15D2k8nlYW33pJzCjofsp6Jkwf5qCv9+KoYPdCyKPk354utRVqVOtUxZk58+p
yOyDjhBHTmcEjk+t+lk/4e55nj3XAfjatODFmRxP/vlfvIvYFPoa/rf5rX9d9VQs4Z9/vW8q/rx6
CSVZ+2ZofoynV734XO7+8+lMDYUX//itnMO/Kdhw/32Y1PhvfviimsOLcha/VnOgjAar/r8C/Ldy
DslnTPpk0f+8bNpUSXj+rZ/FHMAYebc3OLdtbNbmxVF/F3OweNXU/yJGmAie/UQUgfv/rOZAsWlb
4I80b9fBl08M/8//gSPSFHRwKQEBx+HxksOItYcV6D8p6HDCmiIpo0QAL0swG4cNEO+ZGfvLLjYC
ebXdNC03tXaxWmtUJrvGBWBIylDPbwPLXy+LZa7Lg22X48ex8eaH0hsWsqW47v76pfd+htmv5SXE
6Zr6tB7FJpzBpCNYipdP49VrW8Zymm+crhY3WbnV6W4KG8Syyzxy3p+1N30M59bKd30VjV1CCoHM
Ajgi9DjUh/W3eBztWz5DIhpTSjyw7EbibA389LsADVmOrz+xczILTf8ZPJltkLzPjpyTFc3Lkf2S
ro834H1Ztg9ALR9mjzzlOIZr42ORXkSxz0P0pVsYIDtaS9s9q9C4COTWzfhNLsMgktxq/T02j4YM
vJI2mXbvlwABTSHvygnXBuLBYc+6Gj8OsrsC4fSXA/Uuguu8l3N19nqrfh8G9AN2yEAExAbkxMth
CFcLcWCrhhsM0PFjk0XC2XmlQ2i09bTc6aWP37WpUB9ev+3p7oDEnwWbQpAOschf5rF+iUWE5JnX
Dll9U0ebuAG/mW4wx4KIpfLx9TuZZfjXbMLcKYb+MNkQDIApCP7rndqa/L/Dt3KDFdL7DIDfq7N0
jFZnV7byYHdAC4lrr1GTAHDq6k9Bc5rM0EroWJ8SHbzGhNXh5PZsHzmkDm6osCt9LPOT/7lU5hkA
FYcD4rpmt9oM/ZlWncboVjbhd9S54MHx6r1ZAvS1iasLnDMF7tUHHBmOu5fRun5vrbnd2xaWnsTH
3tafU0lom/6wyYnfB4pUgWWDTQ7iCtXHy+6zg8mvfT+1rsWUVp9zRGnZTljlWHuwkXDtl1rm5Rcg
JHyMW8dRG8FMniDxC3+M4bY1ySqzEHlTMX/POaB9m/1WhpevDzEZ2Okgw3ERROZNV1ATgGQvnzLo
o9wGbXGvC4+sPI72Yyy3M8M+xMdxniaOh539dq5Wf6LahwyTXtRng9O3Z8pr0T2orrpvqUqz7EKl
s790UTUX64BoqfW79gEPWrRPOT8mU1MUOUSiW+hdWgz1jW6tAZEierYsE3GxQ02LQd+ZZXWOV0nd
O0V2l+E9W3ZqCrubMe3ej05luftgdujIfHVYG7xp23a2joo3SvrRx9TGGSGDSLzZkBbFibYlCjFi
Pr+woh7hoV6jbS+0b+23YvnaDvj8Jg6vHJarMTymQzddUOXEed/BfsOrhJbId5ss0y8xdBP2gLqz
Pk0VHtW2HZDfYVa8EF2svuVzGzDv3ap8l8fpEu5mdFmXfdpPyUo/oJRz4lu8OMsBPVh3FGIR80GR
yGOG00DzyezI9FANbo/jIL6VKdzbHpBhPGercXQCxBigmwvVh6Wy5ZXTx+07H7X32RQXlsPxtdo+
R0HTHwZ7KbbjXEbZ0UJu8BkCR/+gvEDrJxQDsKddnTlzdlzGomFyaH1Ys3mKjn2Tyr0a3eq85lKO
ZF7f0NG4U3fFUBQWmmNN2YTGX7adN6o0cUerrhBDl4fMJO9vNSKDfQ5sonYFkTQe3VHHw9nihsub
AHGuSjlydGNV7XA6YST7JlPpONvHQVuLEebGPUt589VZq2J0e3wC09TaN2M54tdH+N1tZ5QmGFM8
3jniicJRzTsbrdJFsbrulEDhQFGueNYWhgvf4L5OU/bDUYEwHFD3ZHbSq1Gkt7KzA1y75RpquV8X
FY9vgmF0iSidNmLQycReeAwsWaS3M1MnyJIuatHUChdx0rFWeR/vELQhZz4sOH8SKwUrR2uXgphQ
yCEFT5UxFUmOWoWqOgwpWcHRr7NqS6LNZ8WsnRLHbCV7S2EFXrPhDqU5SEST5dEPa5rD3N7bjTNi
bI+m6MbHXZde1m44hn6R1MvQbev5AGXdYwTLZAiYNMxbd4z7oc6Pqwqq9dwehqpNfAdxbRKiaFBn
PVSSlTCszl9WW21iT2peVnv+t61brEcWTuOxrv8qqiquLtw+HtWhBKa436bRxbiKTF1cSS2HsMa4
5sjxLO3ntn7HZuxeohp0yuPU8gSHZlTZdojEsiH2K9ZWX1cR3vSDxVTpqXogpsueql1qn6VuNu1D
zh3tLg8H8pOamkzbdwSccYA3acS3Bakuuwth5945Mr0ySCgM0Ln7vMnT/TalJYpT3bcxrJsuvMQF
KtkQ+RabdWWnyjuKNsWdG8o4bA+CoirNhcyFzg5l7ElEPFy3EzHSYMIn4wi56BxDBV4g61OPFnYF
32UeOTdioxZLvotmz3Lfrwol0k3Qxmuzr0G4r/2pZkvKkCzxCzEGFfcIBSrqj5DZtbzsoIWW46D9
Lb9ChTG+9wrH/+wvKWaDSBC8wMHUkDgMwZbz8OBV1NpwkZ8kyC4PORTgR6U1mUWRFfO7wQ/0F8Rx
Lq4jnaWHiOpP+B+jlM/xVQMJXPezuMHX5Xpvh9EX78WIe2enA3jmZIQ6Ww4QDkV+3mOPw6YaZoNz
m1th/FjbnQnOouiGs1ANcrhbVm+MErvTjI3UNQ/W4GcWV+xg8SP6IqK7YpXs9xSjXJoLCO/UuSt6
HOv3TlTH3sXiFXq6HpfRJJ9yXe780gqWQ6Mrbt0024bxxqnGDdN1aBpvHl2zPvFciLZvPL+mFVMH
XryTZVNuSVzOTJ1WZWX+toYhxZA4kRVk/Iw11RlredsJb0VH7LbSZrjRYEzXlSWRseX21GHBA61y
Dysor1k0mEwJLWIBwYBk8uSxrh6xJMWX4BJ5tINkLIkL8NnPusZfs1v6Yr13x8UerjLS3OKqaTkt
v4vYLc6G2hY3XZx1H9G8BZ0hsnLnsomyeLpC1IgefO3DDuMgcMhZ69Ctxha7fi1V6d8t04BloqOU
U/mXDqpsOMeKWP2ARDFrSN4puTfKTveQU+lhOLaU2PnLstPqWOk2Az/0WObWXsv7nIoiV/i9Cn/v
O70Duqt8j+1IOvFjT5mh7KCcmmmyWakbX3h1I7rvFQvyehkJQuqAi5wYKXzMS0fsTPOBTUZ3V6Kf
nCBJYzXO7LTubJN6d8WnPqZEh7WSpl9u8diLb5SMWAeKzIlwxpHu8FFLJUyhAc0Z/KJlWHRiIYZG
rDDP4/Wyhhh15qFDRTecexWC4fNNmwIieD2H7axVZdNc18HivbFGzDAH2dXVfJXBtssk8odKvicT
Gb7Z1IahikiYD/OulIPGgqHnqGMXWLt3CvNs/kE0mxvNu40MbH1oR9eK+TDM9QeJ1iG7tNJWf5GZ
bc0wnENQXuRgGG+XwUq3s35CHH3It4kgzZ2xcO+WUm3+TRW0xgTbznZw7Qlg6GQluxkOGs8u5W6i
OjduvbBi7RgGdRCLu/T7WWF2P9sQqvCo3pKF+zXF4JOkLZbTv7AliPeF7Ik1drr4kVivhrs6rikB
NkHLwvFUEvPwMn3M1t63HKRHQt37uGT1XlM3yKOMgUJq1KWUaWJzJ6IPbe4ymhwc1uVN7o5l8ybs
W+ne4fhWwQWKGrxc+bJY2XXZW63eVwPWuR3Z2DReK5Xy/D2s2XGQUSkpKWPbF2vnMe/XIAhzhIwy
5B0/4AP/EZLy/wKSvMBe/h0k8/8hkgJkyyHo3yMp/0f9+lobg6I8/8bfKIoTUxPT4STN8RDM3eAh
/5TERHUmKHMISe9AUv8LRDElMRFMAjdiVuKVakYR/hNE8U21TJu6WmxaQA0O71L7Gyh6gYZRBvS/
gS1cc1775zj5XBVTIF9knaKdcJEvTxro99eqmmzvu7S3tvihqi117b3WFFzEQjwWzvpYwJmPx2F1
FR6ZAcz665KqFmVH4zedc2wt49GDUYDfoeRYamMji1Qpl4ferigzlvReG2wBTgKs5FaCoYrCPziS
J5yIGLQn9jqOvC3mvMxuLf0gx4kFgIJSRs7tYX+EBNkm24/O3CHDXLxb8sIoFJRerCg91nMxtHmy
DjJFVv7LQP43vXMC3SN/Bik3EBP/++ZEdtI7zRCQ7Q+b/x0RwhwrRJYhhilMTK5bXscZxh6U7CKv
qx9d0Ofre6SSRrHvUEGD9tTkNcvD64/0hMr8OmAU944Fb6QAj4OPomT+ywELC2dBZ9hn34Sy4Ydb
D8/IJUSosYpIK8gRhlbUNhMFay4OTxx9S1tyYLBb1J/IIo2SNoSrLC6VPQ+2PGxptk37TS0MxWEc
N7k9IiFEjQMdX1KjdNtKwWVV7A1+R3WKARf9H07lL5EoMHU62ecVJ8DdIg6YCy/blMqS/K5U9Xdb
Y6B5h4ndau4rlTbb3eu9Z073v3QeN+IFhR516Xy25Yj7vbzRqqou3oIl/WbO3xSBaFVaemgzbITF
7LGFd6uHxlQcBXVTKGdbyKj5HogfQe7rT/IShzBNdimj6ZraXuacfwqBCzdbORcVwTfU631w47dr
wfG85ygdupcZiaf/pwKeJjBetp3FBEwWjN+J3N+0o05eq7LNfefbIrIh975zEAmlvEjbiVjIms40
W60BxpLD6009wVxMW1FKOwDFwEascvZJrxeoIktNhvttUJ5fheccxusHRW2RDq0HkrusvV3iLbWr
N03e10aDNEscIMUQtkhuK8XKkVLPJ63it0UBGuwlcq4d9aacsz5azyft4VA4f/2hfwtJ0KWIhdcN
8QYRMyfPbInMoppG6H5VU9ejbexW8Cl0q9Fm5HL/6b0I/MD8ceB0gc5fRiUyP+roFeXwFUPVFG27
IjTJQupYOSHx+q1+CwIfrpUqstQmEjb46MnqIWLOTlhI6q/1OvZ0LmK7EucK+DLCzaYKGhcXNdju
n4wA4vf+xEMUwPjAryOaP122Ugv9cEtu9IWTvHA4NeAinnBNRy18bCJcBSZyzjQpw8+U96KU0b7r
ewCVBEmvM7/P0XtxgkBYvo1UYxZFfHTrAHeEXyFAivZ/6KXodHqaqqH+08DHaKbEacj6mW77auqb
LzJCYhRQpWsdt7uBikGMz7ba2TqfxQPZ4Q2y0Jz4GGrMgRYFNNaVxTIuvWz9ylhWxY+AUrh8Qp56
JUqhWYAd/nhegKnix+riL1BhH4YsxttJ5ZGwZNBnRfFP96mYMNtw7YqZEZFVapZoa6C+77p3wEmi
twBR4/JxW00KQSmKLaUvnKIw5hB7y43Ky/E6n4jtpM6Xuzbwiup7oCeRix3alGG7I6Bj/0Od18y4
Hq8GzyjaIq4pGIBD/QNm1raoD1Ow4PDaRjec389PRoeh4DsoAym9QZdIGTSMmSMXxCO7ygVEXQGg
W8PMItwxvqjGLgoc9SsGWMrcDRoVDeUpRW5ULDkajyo48+dFjm9HrOFsZmu3GPPCgPQAv0SRxdz6
b3WTi26dEtvZ2gY3LpVduo9dlFOCIPXmLr9WXh3hDRXDUl+heF+ny4kSOMTSQrkdui6fc/wi/5e9
M1mOG9fW9bvcOSvYgxzcSXZKtZbktMr2hCFbFvueBAk+/fmQcp1tpaukqD0+UREuy5KSJAgsLKz1
N4GE5wTBLELUGp1XVC8IIk3QDiD6a7dqwGz9fAAvG47irwKgYbYxzUjjcz2zYvr1c6wD5k/wHEcX
rdyaQhEqs3Wvgb9/fUYLQrDbOmmE3NOaKVdDPXeSxWMMRifVPIW5SQjEiqYWuuAvo+rm+cTIeUEz
8gPTNCT5RVV0I1B4K6GJX24dQ5C1qSbSkpuNEi2PR+jS06UOB3Yth3IokyaL/Ky8rwavFrDUHUdP
F6SIbNaURLKSWRODBeSdwSDkA2neWpHYURrJA+fCoASuvrccBBnDepYZ14e0hY76x6CgV55tFjEG
xXQe+ZXUMLil0rlbxtmK7ymfbJGHyMLGBwsLerUCMI36GXcsbEkU2HaQvXiY2o70/O2c1uWrOHBa
8ERhL10+pVY1BczNiEI4XxnxIIjGCIQM3JLi6fnHacz0vbghDGR/DZiKJaiCFmzLxgES6O6lH2hR
8axMA523RdLM05teU1E/p6PLF+vQUbqxnrmhHuMWmavseZwnzVVaAqHnXEEK6O6zYQb9j9iJr6eo
Tq3loQkq/mytoGABi2wgNpA6LmQZgANZ5xzIFx08dNXkMWsdzfhJ4CXwoR29VN6E15M3ogvQWI48
iDRHmXWb1ND91F5S3cjKay01wQe2XU+hcr2Qi+lZ7aT0MTa0H8Ey7ueggC+/ycwDOvVpKDcWDVkd
mZIioQjtm8bOQ5apocuXq9g1kfhZKGTE0myWW08h82Wvg54Gp7sNy4kiBFufJln5nifzbpWYQ9Ga
ax8GYPoBtkMaQf7PRv2GqxRRZQsysuilcZ72ZpEqijPtUPfrueh7Y0IjqhfcY2T0vJvWDdLae6x6
MNNIHcLajuuPYdlGLkpufR3OwdqnyjgVWwIx4WY7OHEGlDluxjoM/0L9IZY8JPvIoRMVx6sgJ8z6
3xeaCUDNCLaKZ0bhLF9SyDDJnCTxVV4noyVuhjns9eRJUZdlJg6Tgp8GpUTPSxP6KHMoonqZx5f1
Ui98r7XlCKxz8dCcfejbilHalDnvo1rNpmGN7Q3Ma5uQm1XtyFuq6C+wF9RAdPmssDV1FBwZfGau
mQINljtzaCZ+kiNMy/eGLtJxKTdlOd+FQ6YzQlA4MeGpcWef8RsS9G5uJKPIWqC21jOhZNs5qj7n
7WtiZEBdzN0HRb9w4zDqIPWsXZD83D/hku1Iqkawy8Npb1h5gVvoTXYYRk3+m30vrWkr0JUhPqgg
MdwPs6ngYKDiVHruvqEYxyMFdVd3IG4As9LoMaZcfS+DltPIz3MIUV8PDrAip4bj2xFVMS9Isskx
ziGmLajdARCIN200VdHWRYWz/fhCUktrNn+1lWoS3LHIJoNRquEqsbCzcSGd3gfpqEfw57QuU/DP
BBkXYriNN8GsE2cIkDrc9wgSLA+Wwax0to4A9TityHpjk/VpxCkr1w0i2j0rmEaiubFTwu6mD6Hg
GyuxWArcazUV3UeznIvDK0KVXzUypzcox+b776wqqupp+zUl5i67fyJUIQFRmCt0bIb6sqFR21Sr
98lVBdsqmnGDtOh/dOodcpUrVGFD++gMNXwBqfEfilVGpWimMF7YKoK19M9MqxAwtdntInuZ6ssX
vpU/5NcTjq7NK85VnNlIKabCH8RFr2AZrP6GeUW/QmjZQWEDrH2DfwV21qqGFY21JV0nEay32xcu
FnoGXVafmY1QTbv9nZLlGm6/PAwVs3r1iphVDD7VtTNEaOJlXplSNP7mv2JpZZ5D93UUTS1WttN7
g3n2L7hadZCPdr2xPGgkCEI5FDzjGzi+6LDe/sy+TVXAQb6f4rJGEnmq6Xak66Z0ysb7NCmvadxN
E00dsk61acbkKC+ceYqDEwsG1LDONQFwZWRQmqOst5WQQMLibgOdPnZs4CyHBHU9QkMJ+IdQkhoq
sqJdRiMlLvSDNVNwubSxJuR6SSvZejy0NdhlhsqL7eVMCcFn7kYPyZplRUNZnxxEZi3crXqh9o9t
mfqfvaqHrXOGBqPIwzO4DNQaGtoHhEmv78nsA9oPjX2GCydZ8GSSu9ESo5RMLMsCYCLTZWRM2JFs
IJJ55hbBOn9x9sD74eTvK5tztnFejqXJg5KX0N3SosSdDohlYbNHT6AzSU0mFQ4MEAo/eueERzRz
px2tOq49ikXU8GxcT0vso0Uz82GaaEqY6fFH4P57OFBElNwVWi/fzqyQO6ooD1vdY9ihCZ+evYgg
2HAe/W8T6Ox659tgHK4Awki2xaFpdC5VNUKnLEk4aPmDAVbOYD2PRq/ycIO+K9I1K/ZD6gYr0UQz
YxuancfwE8M1jrs+lnt8FBnYpX7uYK4F9eWQIy9KRPNDIC7VynIibXbQxG4W1mcqRbXxuRgNBpYw
k+k7gAKBMNv+r5FYWliNq7GhKE19qEr4xLocfHRUc6tSWiTOAPycrlOTPOAeZEHkfS4Q28mRYtev
kQ3Tsh44/o3DIWijmSd2skoTnpFgEkj8VHEup+R2QTUuCr/InMZpvkdQKi6nc5d0VB4WAIM8lbU0
uvjUdaNMk/PGrHRSYQ6Zdm2YbKXPxAE6kP7nknqdNa/TCRm6YQPIhywlRkCe7VLWDa3rvdnEvQxu
lyGx6/TKj9Dy7fZqcfU6cECi8KiS3qU8FL2rlwhC/brghfMNPxBJpGMeM6vgaJy2lp5gTgRFzz5r
bYFQ7AZ0uN5dEyljNs0RxhJfOU5DFkgjWOebg6/nI9YhGZm1yQhkz9EiKr7g3/VPk5UguDMVNFqC
jZVwX/C5E8iIFFTRtNbJvNPou31ZHvngMdTFONW81K6HXVDiHeDI+CtiQ3EKZAatVsGqbpkLxTpV
5ATZzu1cPXeLyg6r63KyYjngLtQHdH35ADC8m2JCmT5dj4YsuVa1dDyCefRFynqQNNkmlLUv72MR
pt2j7KCylKs+H5uB4KImF2nyyRryCmi/zTwrUf5gZLPG48RmonTLC+ndkPSSgyfvGbXBBemQyeb8
5ItQwXKfQQvnjzKxZgYlesl8+tiU5Bp9HXQ8bTrT7VBbba9DvAqWKiQxmONY6yRUcevwVcyZhe6K
gXD4dwfxiOWWxpEJ3ChpEo4jiKnCjtgHfuOMB38pHKiKxmQx/kYS6kM3UDmdhXWzpQ/5aM/oRD5u
auZH1Ecxb20oKeiiTB8YNNLTTnoVOQqS6PC9SUKIAYvVcuY9b0VTTb0+PzCdfBBCfFAXLTpUNsRk
f98ID8GiLXp6TP09SOCEowo0MPX9ZelVEkoWAvFGGWJkAA0VPupmkLLXEwPpe26TVuGxpwqyb6o+
mO48VzQH40WfuD1MeRjICV1alvjiTHFz7fu5S/Kqpiw+Q2diHu/8WSzI1Y9o0+8DwEPg1UZhuFCw
nRnNQLHzafTxMaE7dMSqrK10JmpXNlF8Pb2cGuectm9y3maSHvk1Cf/ooxw5EZ23iG3pU+DLwaKI
Fn3TNcQqBXijBU7YQOdcOPG6iJ4x0TkkaTWDKakqXmlqjfrWacOzE27nZIyGYWvMlQsjqqE4wg8u
ihkF81IHrIHXaIC0hJiXHnVO+4XOQOJA6XfqWZ/Q1UvkCOkuM4alletZ+XbV6G9qRgGlTkBHoA+9
3+Q7glmLMoXF9G2OBn3OlIkB/mljwN0q4CyOHc/7ziVPq2qUqRDB8vAwcQGfkzi9rhwqXCACmN7D
Nw9KGBH+ZWoUgaFrlW8/3e+X0tA/OwTyB6jXOVXyQMqhWSTViW9IDuv4VPuuI0kKCdbErrevdawG
/lqrRtuAwqvjoUUDVf23rlRPn7nQqmHfZqccOcgg7GUzE73BTViGdGI1DW1BUTN/HCvXo1U9IpYV
FOtmsDl3U4XQnY2QI6+OPS+R+Wfvo4LQqlMk4fXsCcJvJ756+/Z/GypEMUxwexawZFSTTiUq5i4q
hxhdsEe0zxGX2bJB6WMhmytHqLcv9ducc6h3h7SC6AQhknNaOiaNSlEX8ZvHMAmcUe0jFWTTA4pR
eon4UTy9O+VOWyjYnVtgawGEUx9H7uakWN21UM1iegWPkMR1jAKaQxVxTIns97Ed6j0rClFaIJlQ
fP0Drr/ZfSDald75289+Osx0TT0oM7qrynL7TVtmqoYZCeDY+UpNgnOzSuB6fg8qoY/zb1/pdJRt
NDd4WnDFXI3i2EnVPCcxRN0ms76O+Abl10NT6KN5mrkOm3xi66zx7Qu+RjHToAGbTdmZJi8iMxpK
/3pdD1mwEExUB+aJPlGyxXFBhzmCohbDiroW/jbChrFKwrXIvYSd8e0bOIqe/boCSbW07BcEbYH1
meecRhY3TgqrEdXXNoFpXm3pZS35lqpHEmZI4Oq0RXaJTo1919Xx+2dR3PAGXfIqfejQyfn0Mjg/
nbUo/StWcY3uCaeF5UVRBUJvHaBmCnYxmFaplcMJ0UqQerOUaqxljeaEycJfOUQncpFBjBSPLFBE
U0r6RoluC20PCMh5SmsZJGmNRw2X6WWv0y6jswWnGA3X4Z1Byye3gVCot/im6RpenXgp0Pek9kRN
XG500oSS/THjsy2dLEcZEoxUbXpoypTH4qyjMmlLVG4oslQ5Zdm3h/+3Cac9hUxtowmW/PepPXKy
SAxzUV/qpHXIWWNEZzhwhMugM4CfJeu3L6nX7asXTqhFGJkeDbhyxBxP5jg9JwW7PJi+hDGEK2c7
pqGfX3uweHLjxnyRvXGLcOQQNVtwkinCFqW+m7dv4/TJgTi6JpET9TH+CE5JCZXfVhPvMvmS15Q/
L9KyG8pPdj7Z3ZXdD+/wIE8jiOa/CYdKkQ8rBaLLySRHFjBOgaH1X6VmAj94mdDTIsvgGVXvPBdm
pa/Gl08HeI7ZDG507Atwul4v6RiITlFU0v5U9YMJ/Hq0fPSfYsqonHRTMHmkRzS8S/4nKNgwL2fP
CR84rHldsGoo61KC4cij+/cNzjbkodbi6kQ9jTmhYFHIqkhA3uuy1oysgoYm+zWLUAa+LhPnJd2R
gzQsh4czcGEDvxkbulNkyVLHaw4E+dyeowCbqmJX1WbsvkCIQPb8PdrkZLwZAyiXjsk6RbLz90aw
BxQqRFd+/jSWSJgg71zTqsjBi9bU6d6eR87JfNbvlODlA7iAIUQcPZnPUw2OvLHc6BC49fFao0fp
NJetTvVHQj0h6KX3XrxIQ1VzpaukP7/q5KgrBOjEMrieK3Q9k7Og1hGzgWJRUTByqLHLVc9SxbUj
bcp8OlPOyIFpizklx+MUmifHkp+NP7pFuolkFJnN2lkCc+F7si71C1+8jKsYx048aER9YWlRAUV1
RYuL0n58keEQksBfb4Yu1YXlny00ViRzN6Pnwb4XRVQ5nJWyyokSyNtDGrx+fZrZBGrAhMMKQxnm
pXkyhVueQAYm5rWIwovPMHM9xJJpj+79PGhcavwJ+u/uHCIhDwF+07hRtS/tvHiQ6J4geI1UOk3T
2MEyQAXocyVD+yni/NrfFnMvk3USSHufhtldWQnzu2zcvlkhB5OoNb0c/4P0ovoyMdP+mh0pWTit
JzLfGH3m/LnQR5YXUTdlqFwVoeluqBrmD8ZiDBwOihmAI8i7W5ddKd+5heFcC9VJ/ApUu6UnXjwk
QBMuisKmS5A1A9JLdT7Rwhus4is4AO9Soa2dop7fmqC0m04cbPbnxyapLQ+Rcj+hhBH3/RmS/NVh
Es74kDoOgq6BabgVorBe8wUqVP9UGE330Xf7nrQoGvfZPGLORpOiWeNp7M+gncPUWCG4KC8Q19iC
1pcUbJIs+3OEPE7VPBrzzTB19WFBtHtD+qkF7A3DXZu+eecOyvwGm7r/aonF/ZRAu18n6M1d5gKo
JGLN6eXbM+K3CUH6pdFpZCr0g35L00evD+vc7cqnttJQT6do8EYtHRw73omeR1zCf3Ynph7nKdsG
iKEJMQ781NfRE0RybiP+nGAWVjOVHJsouqo5B6SbOSnEfWWX0X3aR0aDto0XNhsHMariDClXf4Pi
G2goMGz+h87vwosKf6BPbEM96QM0zIeyZE8Hp1w2K3uw3DtTZtVzOTrBVUXV8k7ayv4zzDi+rfC3
NRtUPuIPTglPb2WI0qeokdOisqaQelMXqqesjod1BkF6Z8We+YgysQPLI3T+VYpwHJHj6JOmaRLt
KZSppvQmWi+unlgr821oI3K39Yt6yFgypv/p7Rf9Opi+XEwAUtQpFvnzaTYYLS5pdRdWT74pSvBZ
s3mwqsYGVFzm19J1Rs7ecV3e0Z6Ffvn2tU9AeFxcpwGkQUwADFzt05TAMkQ/u4FantxRz7IkdZIz
p86K/bzMjygmIfaNVOJmtGPUP9rO8PeQMb33OMuenmKvpqDQYE34j7YFcAzi5OspaOWIv3oUjJ/i
EXk3ymldvpoDT4Sbni4JIlUgpfeiHGYsT6BzIJ9Xl/uautU1NCTsBtBoMj4sVuzuHdy76E9E4dcS
EwyE/XPjOlWVuFJo6gNpdw7UQIsPCKnhruXTGFPrBbnJa2hzfbQWTSjuSRtlvUOA/Vn5WXrjiCY9
y6kU79O4bj6U3lAMmzrqx2+qSMZPqCrld0alVQf82Zp2jj1MCNlDpj5MRZhkawg4PEAyYzAqh5gW
gMjaDLk69sSP0P6DqzRR7p+W1hxB+xBB9nfWtx6707GFNMtx3+c0K05ZmyMlYd67wC0RA6gbvAWy
B/DRSm3ytjJvrImzxDtXPGEPM6sExyxQt+CRoNgDjTt5naZddMifZj+yJnMvKJsZJWZ5yrikUJnt
aEQMRHov7p6QwSge0ngerlLg53f4Xzq7fzvDuZcQWBbgKMRff6scOTaqhihK5j/gOpsCmHyYfQNH
oADkV9UPsnbxtPSjtmEyvimZ4ZGhfNmU/8WQoBJDYgZJO3R/UzQFi9OX/SKKH1Hp43Dv4114CwUz
Ka7SAmsXc4FXgNDSuFM+5KEGSt2XBIXVZp/0i3V4Z0z+Zkpg2Ez1kskJMO4UE7qU4yRrFNR/xML0
P7a+1d/bhWFsNBP5ki1mvBmLdrho3Ko8L2bHuh4qwZ4gimG+1cxmIK8VGmKpMTrPYLNbbxW0af7x
7bs8qj68nrgcEgi+SHugcmydwji7qfRQH+YlxTOtISoudfS17hYMqdBr8lYoYuTUpsoaJ1OIP4na
ZInvMV5xuqHCFYZrWtVlsulqX3zGFFXqoj3Nj8rok+vcT/t96zjzjT8m8Xnsidhd1VCfUdZSlo32
T2OW46qz4Pqih+Y1ZwYTeqfliq+hzkt+YBIGTDpeo5onEpEMN85dPJF3rWsrza9KGvScBZxSxtDn
Cgw75ZTRfUf/8wHZS7Uli+w/DvZcnSdlAQOwE6iEEUNo9K2xYe9vnTCtaJYD8ZwR+qQjOPhFEa/x
RWmupybse1yBGx9EdICXzzmwIoT30b+z/8RBNv2Mz8/w7KY20n69zPB7efvtWL9tW1B9gc+zxMFM
c6g8WeMSW/gybN3xB1XvNv7E7ub1ayqJOKf1Jkx9H+He1dQvmPIGnVc/JwsGpaslspvpzBF1/+CF
RXxliin/ZMNqpUPCLrDrsq5gMcQZPOAWac6Xu/4/nsVBNT/+///7R8UKDiha7PefiRafhsfkV4mL
n7/wF8/CDP/gTBKgmcJLJ1MgWX3hWRgWQhbkv8gcWCb7N+XC/yVaHNUqLE3dpxDxl0yF+ENrvHDC
wbkegr3t/RuGxcmpiTuinOVQCYb9CZ8YJNrrjabGIAO8ZqCuMXc3lhwKYaPUrvSnkMzTdc7zGXTS
WsZxc9l7bv+EbVJ6Nqf+fKvaqtt3UPxx1KtnXLKojJWUlO8TpbxbjFN6k5ZKMWuPhpUzmaNc9mXp
u9F0bwhFP2gNUoZI/wmBXmTH9iPG34jgThL/GrOIDAQmadVf1EzoPlwD2q2DZwdsRTruJ3SqZtxy
BEjR6DwSM40axAha+bGRDPJHZPOFvdU6oRhQZRNuqYyl63wAfzWv6cnp4NOYPvqUKLCvYndRwz0u
AOV6nIr0Bj5uggUstin0kfzoUOGNc1iG2tnzULQjl9H4hk15eggyt0O7Etu0O9wVgWx17fnipfEu
qaPxkRUPC4peeLZK8w6nSjNz1mEtAbavQXcg4AwLliOAiFdLjuv2FoVd2V7aYikr5ImrYL5J6Eob
5/NUT+QaOQipj4aywBltwFZkMeq4DT2KMzulA3UmI7Me2j1Fo8hK4YLoWsJ87xcIhF43M56JvAXk
OO1Svhy8/y8ivBMRYLoQsf85IGD3UP34PqTfx+HXuPDyaz/DAkwqiqjkVYLExqGmbv9vWBDOHxTa
ER5Bisa1cM+j1fGLiA1dNUqhpCAhEvbcx8/o4Jp/hGjbQtvwgIbZ/1LExj0ptHMROgoh5xsXKicl
ldPTjWcjH0iZTu5rjB4AUGPlltDdptc1fFZ+/i3gOIqw9DJs0S8J13nm96t5VjnU0LxZm0NwCGSQ
XwAky6/nsbiSgXY/NXx0aDpnhZch3PAM1QU1YitGBWbZuU5pbloQoMDp23DXhAbAV0qEa1KLuwZU
7AbjINA0bpBvrRbLt9jimmgfyHXGqW9tmq25ga7wWRbhYQQxCNuyptvkZd98ozGByPLjubXgASpF
d97I7rMVJM168aSDW69nbNGafKCydo/c/TfZcXl65J+LGsGieMBrsBYw5H37zgJFSL+Z50HwHbvh
rv3sg/wHJwnhfTJ4vAqm9HrGjnEjDXHedcE5SmsD5HuGRiIGEA8l1bUsf6aIPa98n6EETtBvzJYP
xQvBQRsm/sQjMAxmcF6mfb+BQ5+tpMk9UIEytgkmo3ia2PWeWNTsaiRkN37r893cvZuCcdjq38xc
VHLSEPPCxfarVawYggbr+q03WMtdXBd3oSoQl9Cofrj43qXnttz+5NjbseWGnMbPN+QUn1Cjm1cI
iwebsK6eVdVCQHY6fGojlW8AWqKJQE7yPSoMi3EID7Bthq1TFaAdwdevtQHSDoZ4ADxM2usuC/sD
JrP5FVqeeGAbxbLDWW/ZTwGj50CphZ8qzgPLOBwnSdqqACxl228awTyACn9XygCglBniSW9JuP78
UZrenUy5qTjL3XPH6MKdBUhlU8flfCHCwd7KRs+igZ/Fde8m7a0cmfXe3grJYdOPfAQhoCGvxgJF
hNLzbpjPzwA8ME63ufViSr/BYuLdL3yVRRw3sVmpNtMQwBgB27NGEGEGJ9VAdhDNcm227F/gFz4f
33cZY64mC6bVMPG84E5Djebg1bdsfKMfFBemFT+zyJnVPj8bJMzOQDBVar0W4nZQn4qEL4HvfHMs
boSVF6xkA1x8ZLg4zR0UGgzbqWWdCDFFFxMJ+HUiWB2h6D8LqHcA0HnDwchkCliNx8GoGhbFZPCj
TV5+Qy/V3kamaC8gv3hbN2LSFnkfXagqtO7LPmvWJKI4OncKviT4MRRXbXvbgfTalJ3LkJqSe4iT
/jLojfksRhHpymkjnE2Gxd7m2KdjfeHgG55VKCDXzLKKb85TlV8HNgvVMQkEgUxQlVBxsTVZJ2Yh
0zuZeDfH5eWA1d2b1mjjblYgR18HZPljVq84d/Rokof5RZyY1dlsOrlG5rEMcw4jx3fLWUSDVKor
H5FmQghToGraEH0TxuY4yxeRLzuAWuFZH7v5Fk2GcEcNu9iAim3WxwmgZzhL/C51F3zeFWEsxM9v
6y4hmY5+zcM4adw002jGMXYrMyt6hORm7L2ERwUTQmV1tIw9cuBEL4wLUSbkFVj5cwzwawWWg7gC
a3JdOgMpUGVFF2Y3Vlfofcw33uydBVP2DaywotY3VVdRbudblEc5CSymsY891mm9eNaVQtBiJ3wm
WVU61ZWBv+h6ASFO7C1BuBMcEKyAz+2eAUrowUzPfJg1SfRMHX8tBtPZAFjrV63dd+eTT7MBEY5g
M6eluTdhJKK/GhMUY4vgNvHqjmjKaLTvEuopwI4qdQZ9XmdkUq69lsdGJDzFu8diFYFW3ZccwPal
wIfuGJvskHTouGiRS5E4GxkHPju59TqmROe5d7bK1Bks0GDloV7GtjMxmdq52fV+yvursZyjaFSh
6OTON6PIn0MXPzroAlxZj7UfevkmL/lIPOHDnVshSuPOQ78xaDav4AGCMsTS6da2FhRP6rY4C6L2
uRX8czlm8FW8hpIt8cQ1inRndd13aukeB2PEeepWPJQ1wgO5kdwa03gjdNnTmYL4QqVzjGpR0RfW
xkcCZ0vrsDZX1Wz4muO6fMVfFVVtn4zA34aB1aP1vHTZNzur540F78kD4WgfvBjzaJqhTXaNFsx4
AcaQV+iYqL6s8G92x612dlsldTrcJrEL0AImUxGLHaA8ma1VPqAarlB/2S5u0lhrv22Ni4aUFYvX
+qkP5Xc3NetxFTtz/hy0jgE/GlDZ0tOmmKc91o31Dr0IQOww9Fpn3WRYzpeZK41NzFa0AaETXQNB
XYxd4QA1u0HhLBDn6Hv05R5w8WB8htsh18kYy+IqSkIHAFpXWP66VThN3ngS7hxa7VVk3FcoUl8A
sH+ngKPP1v+pjBzzGt1WxcuN+gyi9ORdv+qUFSESzch4j3uRKnVGSeQZSlhACAoO0DngAw2sOjd9
Fzv0um7087oulBvNNQQbctIpQGXMBurbjHtrOgY71qCT5k/VxEEdJvTzLwnn7cvz/Cr797pd/fNq
VBl8G2YtdncnV1smbDHSpRr3hWKC6EwgzCNji4OIuTle6f8OAe8cAqBJu4gW/PMp4M/HHgvPGKj0
r4eAn7/2V3HA8v+Ag+z55O0hibuuAPxVHEDKkmb08WjA2/3rAEAxgZzc1QgYACye1k346wDg/YFu
suWE6KnTErC4u38hwPB6AqHuQHua0hTVAeAO9m81V80sAv09+uRZaC+sqxRgJnzgwV/BpOy//jIw
fzNbX6/J48Xon4UceVD4p65xsiZjj21cJIN7h8NI8wVrTPugBhk+5OnQwZqxzeZLjPDgYyghLv4X
l2Y1UqChdcKgvg4H0Puteajpri0hgvcVAuThkeUzb8XoWweUt5FT6gHKOes+wmDipaj2j8iD11FB
PzlNBTrXcP4BaAInf31524HbE2aFc1dQsEtxvMR1g8PTuDQXKVE0Xc3ok72jGPyb+dnxokwVDpfU
hsVpCKyaKhrjhkMVSjD2oSJYntulj+oLjQlUZGgzX7mpo/vK1tj1Zwles0++tkcrDJ9xaDkWnjUi
zuZ9j/dKtF2WxX2kWYZAUuTBKbiUTYQWZ7rg97bqG4tC8lxUjvNOA+4UuaIfw3cEgD9bdxzdkxgX
wKAYZ/TF7iwIBA/5WCAiVQAV2QX9bB3A/GpqkNc/vT1hOHz/sn+8vDGShJCtmIXB/1+/Md8wRTZ7
nXWXWdI6VMaCyRfg6Gczm9s7ZS3zvec21g39N6AAKhnTs7ev//vC1MggKtI4vzBvTteKDEM8mfPZ
uvORx7qHINN8USEKorFsrXdgSCe9qOOzOmwfNKG0LDKWea+fFWdPaHXmaN25WALfGw2Qsh0cZZoG
aIj1T3Puuo/oGenVqa1BGqG1x4xMUBPMk/dET/7uwYFUEi0pSKA2cRIkbNeo4SpG5t04tCwSV0RF
fWUPJW13SOLhf7FI6Hjpdcl/9Jjd189OzmWmhiPtu64HLV5B/keYCpT95ShMAE9dxglT9vVli1Ze
wdkXedVShnOMG5RlwFXPlvrS8OWM1ag3IyNHq+ZqyGW4tQZKqEki0WCqVMYq8wLQ5BdhYo7F7u25
copX1uEFZAxyPBZbBXXQkyWCQk40Biq07qKIxHC3iK7bH+fNPJTNlw5Zj3VBNvmlguZzVQYTbMh0
QQewV2G7hyyOFluauyTBy7QU3cbC2O8pwH34/u37/JsoKCiMI/+PAQC6zie3iZLCKP3Ite48LGUR
idLDbAGC/GKZkXVo4fO8M7Mplb9exahaMKvZc2FmQgg/vSI4aDszc9XfwWOvL72h9B6hV+k/MDlZ
jaYz33aO3/urKI0gb1DrSijtQNb6mI65hpSgU/GEtRkzHT2DM45qzZfUcQmcek4ch6hn1/CRHk3C
K5hG9aVCtfbKwKLo3BaarguG9B3Yy0tz+D/JrVbepWoYCqDQ4DTBJ5xM2iXIQ9GmKr6r+a112KgF
xrUwsg+tA4xyX8lETgjcygxbL8/AKjmlF5XswiROM2py9B7Wam44cGa23Jpa5VQusCr2iY+r4bqy
YqXPzl60bExnCeOVmUzGp8YAprcBuAb3dgL6663BayGtTE2RlZH107hlCwAllGdFvXKDprrDjSSh
OFBmV3YZ1Df02ES7gb2L5GhDN/WzpUT+wcI15buZ99amIA9IVrZaFnjRs0yelFcr/2JAs2GTIhlY
XwANoy5Cf765bc2kLtdzQmFp5dbkux5dVwhVQhjNw1gV2bRxIiE+hiEQ4hXGLrkPYV+2kiJ53EFs
Q3u6W/uDHXwDQN0F6wo4KWwVFD7QDR5Htzu3W5Ua5xHwoys7HrWGs+R8jmruRzVJa1wLzJ66O2MC
O7LKPA2laHs7T9DxRFv1VsRlgZEVupLRBlR8+BAnI9sudZFLoWAVQBNW4RYUGQp7pAagjq0B/bey
9rzHPnRJE45izqSABGIwHPN9nyp+TQn89wCYwa8LQAK6q9nKCnEV5CIf2ZmtxAoodlajKZoLJzYz
de07dXsFJTmwdrGCzQyfO52Dcxf0KW5N4QBqHQLlKrYT88xMsw7ThVITQ91u14UpdasajyDTXD5b
ePFd2DKYN2Ae7W/4i9ZrL9XikACAdvRT6q9l2CPlgkPUqvWb5ImJMv+IxygbUB6Iq40JxQf6YTRU
Z12McHdpCY7/+LmYDnqQ1TwHKxhUahWg7+22JibftFuag+Hhv3YpqWjk7kVV4ct2EDKqsdoDfqVq
sUF+N+CENSigkn6+AgkKMR+Wtj3ZGEbmbmpYgCQV8k7lJshxNP6MT5rvcLt5VqFahyRnsDNMnfws
3nyPYxIjjW9qfWnGYM+J9gZq1wHYui2Ncyx4yzgqPs34Y0hkXgc2BQX4ci0FpmGrEFebsxROeE+J
29KQv6rlM3BQbL5wKOfN+tbCS00ziHumiTvfBAe60eVkXn0uCdmpG9+NIliG9aJ89zHyJvzGUhPt
xKEIiEbl5GE2uIQP0Nj6p35J3HOf0uIVsgPhlXBLOnUdUoarlhUaUK+EhAaPy+PmOHFA+Ub26AHK
RLDJVVlf5lVuH1rT0z9UF+HVMEjiM+EsiqiVhGW8sayBf4G9zDOhzmrd4JrLP1BDq/NdgNrBYwfO
HZQBtmo9SgdWdoOlFSEm9LiruC3DqxABi3vEbNjUU4OIeoyR5HDBVeSxiQL56fYRWPynNtRDGXau
dej7kb8e77YcR0oraHPMtzVpp42UQapu22MugoGc232oyhyoeoxg6LjwRqRLZqjsyTpIawm3to1M
55hy3HDAwB6yyGZ7HmakDZXOHpXN2FvYLKUa2MmV8MDrnxCImO8z/TfZqabHxp7s08yl9wgeOtzS
ee2fmoLd9qjxmeVIvf4Pe2e25LaRbe0nggNIzJeH4Fwka558g6hBwjwPmcDT/x9Kdv+yTrv79H1H
OBy2pBJJEMjMvfda3wowpEx3XwcF+GUwNFWaO29Ccb5Pu5yvtuHNKOGlnxYhQlwLBjSHqtH0ix7z
SDtVqF86WCjViduI704s77asGjaermr3He3oOz3VOYRXFVgDmzHMazjk7OYTxI52E6J+fnO6GREk
rklUuE0HDZOJQsoJqmLQqE6gYKBqfx1whuWoks1p//mj+DGXPZk82YU4a09WHlhaRqcJw/pgnaU9
eSeMNNZb7EKN2rHt8AZrAV2a9lEp0w2I1vA910AFrcqvR8gIbQC0I4NTjkHsPP26lbeeJdGi+h3f
UR16HO74Xz9a3JOYqVjbqqVUyRjA7ozJ4GDAaPvg8E3DtDfdAx+nujJHzbnD7jfRGY1z3u044D+V
kh23X25Pu8yNix5hyQaouQD90pHjqoXvdTjXdE3ifQFPm1Ma0XSYi5dInA2zfd5MaHMD91bGNesN
z38C6Ow+pJnX5Ju+0ZMdthXukTzO7be4YKBLV4ehx49FIMtNdTclJVclzxL/5Ey2eWhIJruqneXl
C0YIQbo89ci76tfUqKorLEvtnuN+s29Ck281EfSkcjZyroPkCOqXSfiECFnB3oU523oQGzI4u2S5
JbPmrCOyRsmJR1DCxIc70UId012RjLrcG5zRN0abs/hYURN1N74KIel61fIFpY3F0iSqsNkXreE/
Jf2sGG5RjtI2dNADr5ZIUESpWCDvJz2138w0NR6E5lED+ClliKU840GaONpRxE7GuGKdh1I4JX79
6uAZAZ5rSMShyydkJ+KM3DmsQMA7UBgsBe9MVgJMZJNHNKJETVi6gVJQ0j4MDb+I2Iivhea0upnx
NuY/Toxf2+Y0wyBe10ipUfUsqQ/oj/xTKTwyggZRrGEAU8ksV62tR+WvU2nkJPcubyd2+BQZsvi3
eoBjDZkm8k95VvJYzZMZrl1zBsBMB5fecxexHCUZDxcDVFbHuGtpH0NfR2VZojW4A0DjmBs5us1+
Sujtbgh/y+071RL3FpQS5hYOIN1+s9SysvCngSornbKVdLND1lRatYFLKPNjMTr8dM6kr7knkUxy
i4QZF3peNhcwlcvap0Sq7arIWNgyNYoNSnK46zNTN+6JrwvwYy1aCvcxFawLy8LaRi47zte9G0YY
Zleqr8E90Rd9b9mGbr/uT0sM4S6lEbAbS+gcZyaA3CLY6bmh7Gw84u7ABvLjhihk4X1nQJcximvH
dq+RykzrvQa6TGbDw9dd4SCdm1eZIIzJsUoe5CWVBHoFFyHrtKQKnLI0mJ/YJSvRNGdQXxpBEwLY
wALUXT6QJgvuvqS186C1JL83cRBq19SeJFxYfARuOePBhvwl1zS/ebJctKp3gkm8yVyHm4ZREau9
mRjXNmKPWyp1bmod/tvAaI5H5WsFtLIe6HkVkjcU9CT1sn33KVfJdCWPzbIBIXeMiBEN6rFnUagi
Yj+3jUbKJyPx5d2mQ89jZjYTrxvVk7qDCdcufCv8Mz5t+KfI/lLvT7gXQAhYvbZmlouDruUsNN+P
hpeofT+MkKqNLgVR/UW6bnXcXRSNPa8QJRV3u24Q0vXQ2wOHkAhg8pMukd2WtVo+r+vLG2sQ7v3g
qeJamPZHrIVakPlpt7dBJq3clpUdbHf6PTK7akWcabgyHUrqYKxMHmDF9pgmNTvSlMg56Gl5EpSb
Ts4T0U9c5wSbx6qy5ax2GjrrrQ7kbFxFTQUkaFTFIamZVpjk4xHJUtnFgcpe7UujLqcgr+vyHFZm
9d1XOecFRygWQw6ZsLo70XsbpbpePzbL4n9MwwWLj7ydM9VgVVQweZkfFtb8Q0mnaAianID1e4gv
fD1M3vh34xtcJNOe1Q0dQBwLpmTBaZfFvxk54yBOVHcN8L67jJzeHTQieAmLrumrUM5yVlkJxm15
1UVhrLe8PUAJNJtExfkAQRPvlMEOfx+xdaxYTOyzbxVnTHYXv/Y36bKHEwwYPjHs5g76KgwjPSpr
TB0p+KIW9eVDheM9vKKf1u7duPJPiR9ZB1SKxPUo2wcU1HefYmZIQfq1daAG43sFMsj+2aZsbkMR
sVrNTiIe0BaA31rWTbiNLI4+G+bmS64l8uW8uWR2nApSPIp1WNO+ksrCAZIruQKtyFGt4REiHZZD
aqih3ajsrRMtKzMBI+xA1HbxXthx8s0aHajmdj3wxPULMx70uX/SfpwwGnokGjtzkQG8Obgu4sUD
BZvq9x31DaPnod1Brx2wNAnhUav09pueodT1PIOWnQ03L6DPwyUhDJltIwwFlUThsLE44+Q8xHSs
1zNJY4faVsalnaNlOfg6Mtt68R0Vp1rRJSv0bZQVpDE6Uy+2vHL8EBNm+KhiZz7F1pQ81kOUrZGE
+qzOVDvzlg1xILjCgRQBLabWbhDtVyrgOF16G7M11V5EtvaxGKY/U38gf4BT5XeUbh3HbZlHmM8n
Qeei04mX7qpdTnPlBdudQ1BHGOYxqdkwPDZNpZqjbarkApEPEkHqJM9F3Uf38GpGFQwg1tdZZ+u7
ybMnYlfr8DFmsPpRNRN/k11iNeKkXPrRzQxRBxyDHkljGdYy5gWy7rx+dWf+O+H5NxMeSg5h/tTI
+l9ZZTffyrJDHvP2S1rZHz/4p9LL+o1MH1RUjvdDssXI5o8Zj6f/BlgYqIBAYuozzKGn+eegR/zG
LzEqXBwmlAtLyNmfOlD/N2B0wkEdyrQHf9N/RNpGtP6XXtgyK7TgQsOTpWW0gBt+aRrlhUlRUOvT
3nZBwKwHg9T4tZ1L8yJCcO8bH6yQSamYtMVWgjnxV4gB2oPl4Trakvkkkfeg5/JpcvS5vSbh3tHA
sBDY0fof7I3htXSc6aqYDH1Nljf721yAuF0VWgcA0pis9ezkokbvTYbqxoWf0a8IuDGQlBDevGNb
rp7abmqPU9rEF1yz+sZlJv0IiNakWcjkaNP60CFhEhbNfZS1qtzrjd9AriHB4Y2gEKcMMqOKUdog
gyVlvPYz0ixVuB7icp+4c/INrW70IRm4nMnBcV/sqUqHta/5FmVNjo4TsQ29KXeJwqa+jASgSGnf
+F6UX42mn17Dh+vPo+y0nRGmcwBsHNRX1Y9qw/k026ZMS9A/cFECBbZxpbVofDiqoxby61BHFWSb
j17LZcZVlPESdFyOpRMNoFgA9gix5Kz7XHkrsYwjOeXFTa8RgN07c3Grz3mFCNdrSQIi2JCKLiuP
HGzqALt+GGQydrf4GPQ+aL3iXBIjROi860jAgxmekqC09WdI5/1pqKyXDi/svdF1pbfzcALla8HJ
pyZrxMt2ZTuYTyrPxDbFhbYrarasYJzD8AyRKFlPpp4FRVXOZ1BM3Z3rVF66cZzQPpqI6r6TrFZu
rMK4c8ebws/LdSetZmdFOseTgYNfVwnzYjBzfDWmOnpsC1NdY5W3A6y5G1geEL+KDE1/3Bc7s1T5
0Scf++RDgb21daIMMks8JxAN1+iQMuiew7Qtmyi8nwabVB/NLvZSLwK9Mvogy9L0Lhwa/ZoZp7sO
lSUPkVPtstT0NoUlJQIFvVqHc1UkKxhD4T71Q3s7OAV6Eik/jNDXtpVlAamL+9y44yaPVp3CpIzh
pFjNuW9uDM+W68wU1hqs7G3F3Rag9byqFgw9UEJnrcXdy1wk9mpWrraNhWMALfJ4lx0d1GhA0WEg
cj7m4FpeSAwjECOPmzubM9N5oo11xPrbrFNKmU1rKIIorDa+ABrgvuG2JfSBrWhXk6azGso4gbuJ
jiugWrfJ2+HUM8meJL0osapo51jFFBmPXohke9v5hjTrlY2JG2lKKuMo9u4kmF2H3qvme8O9EJkt
7+2OHru1spssNp44dkfpRueMfoXLz73tPRKbnpU1F3ia6UJyXvGrpTp2konXH5OLTzLcM1sbIpgc
F/EYLNzVdgMzDMex8s0yPchqicfLqznl09Bmt2gNwmcd74lbseR9nyXDIsaJtNS8ZCYt+tcs69u5
XM9jVrqwf21EmFPt+PN67AiyX3ObRdEr3swoD9LYSPh+tKrg9gQztehiMMGB+UoUHx/IhRutc7TY
Hp1Yk1Ca/dR71utQYQ35cDPfyJxXrpE/jCSO0YDGMGeiByzDrCeEDPF4duDEbqNyZa7TIyXPBsJo
9cYkGUX0rQh5sAy1+e9OXfZJP/27nRofAxOev9diXL6Nb59vP+swxI8f+YcOAycGEyjThwb/pXr4
xx4NJ+fnTVlHu4PzU9BrYHr+06ZsI8ygZYmQYDm12ozi/gP1BV6/v27KyC4Wgym2VpMtHmzTL2Nm
xBAkhLY1hnCgqk/AzOzDZBpau7JnJG5TDBFurerqSBZjY6wI5mFeA3d3I5GR7gZG8SebfDvxYsdz
dqncvI2vGkVGGdLNRtnrobWmJ3O0xheK3HbdRxPPSz0JhZDRw3VV94yIlBOX426Qk3E3UBq+lmM4
Xs8t/jqECiXbWDa3PGcN/vZtUlgk9LYp7cM2G9kq66nfOWgq4HjGcG6DKKos2BwT5bc1sf1sY+XJ
CGCiMQ9rmgL6O7TebgL1n2Wfjas110lkj4TwyUJdh2FFHiKrOZ+9qIuJSHiVZO6hmlpr3s7GoOod
cVP8rtnZtTgOXkQLOLab6RBppU12dTEp7ejxBqsrCx1HwfCC5vet8Orq1ofkfYcae7xu8iXqC6/e
GpuHFwVhV427VLbuftmxmiC1qjnaJ6qnfeQNGRZ66vW+PpuZeEQISxJjvZY/7BihAUh+R6RwZLo7
zy7JxHHbRMfCodKiLfWA6khhkP3yfPQTbg9K5GpgBBM1sROknPtKrNOJBzFPPXd1jiLzjoUNurTp
GKxQdhKO6pI1X+lyhBEQNVfTgyi2tbdE0A0/8ujsr3A6+L3alrmIQWad3SHI5GISHtefOl0bgSzT
SSXnTu+kEV6JNgaSgBB9XG4cd2byldozAYELaSbDH5SPR7i8A4l7xh8BfG3XjXIuVhlVUGe8RD/S
+tSP7L5efiX52T9y/f674P1fFjxCAv+l9ux/2gz17lv384r342f+WPA8/zfHsp1lJom9DSMK68sf
RYlPvWJQerDGoa1BQkA98EdRYjq/2fwI8jKSXrl/fjanmcQrc6ZBLfGnM+U/WP+IHPnr+gdkh3+w
ulGRIItD68bv/xRc28CztGpBL9TOPS8gF2a8tGU/7uYwVkdCuoj+0ioglhVD+U868+7JRqhAh8Uw
5F1VDTpWylp7I1ZRP2e25UPPDM0Hh1hR5qu1U66jznIvcc5BdUrH5AGIa77LQHseisgxfq+YP5D1
46ZHTzibfuqad86i6Z5on5Zg0hSYKeS8ev7Qa1qUSYjGPQiRet9DnsqOfpmXV6FrshKbyDxVX54r
W+BmIR9rraVFfDTGjuC6pKC3WNAr4TAQuceiGWraHbm6rmpW8Tr3/NPURSj1XUeJW7Ce/gX8un42
pkQ/T+akjYxyzGaLBzjfGZWIXpaIQg7R2Y2hnOEc0hubdcIHDSekL91YvrbSm9r8joV9STGdnIDD
WIkfA5zRjT8xrmYyAJPashXDupwFzM71+lNKXoT+B3EECeMdNPvZY2Ol5Nap3Ep3daHSvd/1rJqW
LFACTAaEEjE8V14SXvdDLG/7Kpk/oLxOL0sRcRtl5KOYU9peHDNVtxTitHyESLZNaA9XunKa9wJx
1xokv7utx3zcuUbGx4iUwhlT5vux/ArxtYZPzTeXXjAJAX59JcqISFaMykMCxTrTK6oMOzwXWV2Q
6aodcmbhrHbV/GyNbbNrmtH+HvkYB7q0T656x5I7ZFchcri4uIFWN4utr6XIkCcQHhsTuMlVDbr9
KWKU8eo2TrFJE6c+hrUjMSDK5sEPreQ8Y/o8yw6j4mpozeQ57K3ulA56fm9VVr0rMHj5K9lU+t5W
uctEMTfN23lyk3OEI3ELw5ikOK32wIcwsgJQ01PLJp05nhxglDc+jfsjjiSMM+ls5R+DUvUldJx8
P6nBvHLAwFGbOcnr4LnJS1PTMC0Zqd8WUMf3itHHhUXfvBLSrvbtUEXXPQPph3Q2GZoXXX4otOGA
RFCGK7+0PfxatUAYaTjnBjvEITHyep8y7ixwGnY5rIfYvs5reSViaXE7MqzVMC/gDMc2O3j6tJpU
ZmxEHbpvjSm/2Q094WiqETSAbmfAGVpbKDnYe9xSPJlW9oE3pI6Q/lvi1fXKh2o0wdp39bSb9VK/
rWIHI5NiSHe0UTMTBmt6+iUeDdvAwuI0b8T0pWgssoaxEIerD1yo8a4cF/fTnOSPJBgXwYg5CFFP
VlylEV+iZBbAmDwnStTKi3vX7Pp3UARju+oz4wGF7yES0jlWstkBtgSP67gFrok8zW6hpJGoF+Z7
h4rq6IRzebCyolp3NVv5wGJJvrufHFxyKbdTYjZrYAAYqUqV3tEmtL7NqiFbNwNqMcfLsaa2sxcX
G8Yjnh3tthYFE5G+xtzexplYN+z8N1qrtjJ3mqumBVEa+P7W7tNiF3ZSPyN5yndNfjuG4fiiLWy2
zDHRKuqRSc/d07sgZzR5KfWx/TD7iXdC0oLUlburGIFtxhwtJSGHpvfSu+QOoBxHDraS7lSB352i
67mrsp2meiJO8fqS7zwqh+xWSFmrKJw22Pi6bjVXw+IT88fHaJ4shEX0wtd5GzUsczBJKJiK+QoU
fnOeylDfGIb2koqMMVIUEfCc5L5L9UqYg0/oUoBf6jnzpH7I9U7fENbSrESaVe+5E89XYRX7t3bh
OYeusxWVN2Kl26TXsrXrlgEY3O7NYdS5S3Xbu9E7pyA6qzD1y+hVeuCFxQxU3MudDbBhRjLsGhd8
EfFz61nJqZjH3wHbOXt2xBmdRzde8AMxV4FFcOpSeko99fCJWUR706dhc0512TxpYZJfuqyoNxy2
oq3hV9F6po7d2F1jPgNvEnun51O2oVdxBE7Ft9mNBibofv1mmc2yuQyz9ULXKXnshTHmKyfJfJjV
frQbyOggtiEiFdMI4xsDbdlK+tZSxzfqXh+49GVsz+tp6utNh5TgCg84h19mK/E1KWKSG82Qga8t
LpdaH8ClR+awQ9vdLzEN9WPOrC9B+YjvKpxvMsqFTT2OOuKPXqdRNGikkduR2jpNNV6MMRJHH9zP
77IR+PXwPWCHY7tNeMSvOmAFezqYqiKCr/VfM8dJ1kUp9Zc8bMM9KxMRX71YT8Kxb+Yh1T5qAruO
de9pW6JMumvS6/KDbWnh1rGi7jafpPcINjTcGtg87+Mx0Xk5l0nWNGnO1ozd9tJOzXvZzdOHPg8s
/5CRZrpsyop2ypTGemYYQutSu6KDLgDflG2igGBU0i7I9kUXlbCiJfotkNkl5y9NI1ykHESY4zWo
6UrT72+bqMn3FUMalNm1mwFl6JjortzQa777bZ0dxjwWK0tJ7ZSIYjN5ZXEzEuq8Zzr3ard2tEjS
cPt5gxzes54eQhK/6eHwnUyBVw8dTGnMRaDNEn+Y2RSHtnTp7zTJAx3A+kiku/uA3U8wepPlB5Wj
eobf/OqNpaNxqyeEZ2XHGvSxPhzrpmvGfpc7qpmdM0etMnKwN2a6TS5s1VubBcJ3UjiR14NUg3eD
qnYi8MkJvw+40bx9Pkq+OG2KRb3VRhyC6Kp2w8SpZ1fEdXVOiA6qXmsWUM5eS6CLotPZYNkrjkiu
Wvp7qVhzyMuu0A2Wx6FN3FebgPPfGe1E6U2IQuvKjW2jfUBmEYcIrAhKLQPVSaZNq6i3008vVp32
aMNttzdGPOJqpIuUIV1xE3NdajoGHuyo29Hpnjs3kqtW4YLVJ77JPrKelSbkHluYG0xFP1z4k2rr
45ILBsaJSWudBvr2CJ+Yc62yiF1Gc0dtz1nksZwxH8bU5Ud2EO0+1pLopNzcCIj4mi5jHDWXlm/z
OPdy1ceJfLMyfzq2/tL4trRhZ5Rqwtq4HLfMWQwrev/tVZIcoHRA5J7WtBT7vZdTjpNPCcUfqgFp
QdZtMaObTBstOsxW1B8YGoXHthDJsdejE06uPNBdoz7FodOvp8htfh9Mh9QAZU+7pBmTLek+/gZH
dLhpk7zaSDgBOCNj8nH6sO4CIr28/aDXAjmWKHY2U7bviGA4RtdE8Cl6neBkP7GeOt4z/W7ANR+D
5TaZ/Rg2NAr7AFhpUuSr/xZx/6ciznSWts7fd632b/ItSf5Sw/34kT+7Vrb1G14yOAEmNBnMIxRR
f7qHHP03yNOLCwi6JX+EcvGPIk4wWcIcDHUErfVX8fePyZLh/YZZzMajZnIf/acMAfsXWw83i0dl
xdtycNcg715E2D/VcOyb+ZwyLLnn9Faj7J0L+jvYcas2mHOEf7WFShawQPvBUioe4jjT7phyTLvS
wtYQ5IlnB3mnOLmR0C7XmkNZ4WtspQolZKfr/D2OFtHLQI6ZECaOjY5jM8qqKlYkINOn29T48k9C
g0QX+6Uk1jWbdpWYMto95rz32WhWsaEN3xYECiFSlrSuNZXE16rMOajEXS/fyKSa3kjfmhI8jly2
II4WEWSbtfOW6pJJ7qTV70xs0jfo2tMNkdHwEhCUvU7t3CLCBogXmHgfv41tZKwEnRyOk7pxG8XO
LdPzBCFt3onHwVRztv7pfvknxqovU8RPgvDlK3CWuaOO3x4Zr8dt8PNXUEBiTbWwc+7nlgRv26T9
j0YJEQr5XshiTdH07oqdyr+BjCROVFV8tNrxKvym5D3t5hjuEhTE6uDPw3ieQzu+UJVXn2CatOey
sTugL9RbdpKm5wGoAFsbI5EnkqC9XRQDJhg6s7r2vPYRBai9t2t5YqEWDyIWO7zJn2lDrfevP7T/
izHIZwKIwZLDBd1YPHK/ItRqNMhRqNcg4qoifDWWbz+qKuPFEGhENbDfhD2Z7QF0MpbtuCwEo0im
/x22clAVSn+vM4PL4NtSXUeg/Y+yMu37cOK/6N+Lb6KujKuIzeU6xiN2Mjl93dhe+BRZSuz8JMmf
yELAaoyAZJ+UsiT/ttV2HKec9VS1/WbWC+5ps9fHK302P0tnOMlWGEh9Qns/wYHoyckmgxj6wEbZ
mPEZWMZbO3nNyfQ+WlYlP0D34FbuTflRMzg5kKgEkaenVgxxliBIGrakB6o7HsrswqbGw4S6eJ+Z
n3qRpC3wPgaQa5RYBHNZUUEDw1PDOkkA1ldu6u/0GYqCSDjFuyX6N5A91PqQs9NzEZvNidwV8Tz1
Zf3Ny5uCQGFUWM7KttEqgrcxSDjouj293+QKtrV+Dhe5nVca4xmZCB9OmAAWNk08p/uphYIQsNmJ
O1JF1XXXG1xQEq+2UGrBQdjLs6llMzZE2T1bMX0YH87lybJaP9BpB/wbY8gvaxbWE2pvh0OJuRgp
l/b7Xx8YEVE5RaOr3cUceW97HzSsBvT/CVAZCYAuNBL0Sdw7bTV/SOHNQddTmgaWnOLPFBrSpXZE
eGx6vXl2G4uyh9H4rvFqZloLGYER4iNtHozrI/q1VTqa5S7nuz9VIXNBvY/mDRNYBXSgEndKbzNr
BRF2oaRo0xnDALlT5IZtiQTiVFHPVXZs7bo3wHloYsOpj6I3VbSFgTHMt1+3bZ0CN0gSZzq3DUAA
o65CFCue/uJpRQc/1OieMbE1wDAS5CNFHePWM80yeS/1bNdUrUZHX/kDmPNhcHYWkjx3k3mxd+3p
hDr+GGD9rR1yma385K5bLj8iCA+6Hu1Hmo/u8mj/tGXIBud7NLfhnWhrR1v3zGBWU9to9+ns8wmM
VJDx13TaQzolsJxszCr1mWChWO08ZDHTyuQZHFYib8Kjh2D+LRuddlr5jaSlUBtt+Mrggw8DZdE4
NMmgbf/12vPPPoC1bK84r9mXAfT/9QOUc9a1Rhy5d7kDGgfJrbo0dRRtG9ImaRmWrDNhI1kvhMMS
Q7mmbThv1dQAun1lSA7fPHsgUMRUvZnKNWj5KPpPoh7QFuZe+IA0HNFZXEa59+Mc9rcX/5dw2a+L
T7A7HVcBl44J1y/vXRZt0s6WtO+qwbaxO3Vd+J27OfT2LcJz0huS+ZyqTl3n7ljueowVCRic0jl4
dTIeqwL8hPRFe8ht2R4qt9EeCGryd760elAtzVBez15HtoXg80sGKhxDO9l9JwAH34SfWO9dKIeD
Ps/eyLkY0d5gyazcuaPbQhqw55USLcvQMITPAiPBno6ed+zoFJM9x0Ap78xoy5BcvbZOOe9aOYaH
ZGKoPJdu6QW9EOobNGTWK1FY2hh0tTA2s1lTXVfZuwHOviOZpVmZWV0fcmsMX0uXR50zASOr5dFj
6h99tiEGkQ2hNbw9lL7HWbXiDlAKYMoiBTDhiyb+1Otu3qbgil6588ZvNJWWFWS5NKkbHocEjYSl
L/Zeq2Dlq5NWX02iyAg3EjMlIhifF7dIP8yqoNaJYnVgstIFLTalQLNycYqV7PA15eoC8ZC95F/f
xBwSf30MSePmzEA/3/46Dv5ybGCtBqQCR+yOsIWe8knnAVt9rc2k2ze7KWyAsNKCQ7mMe2fLUax+
c0Q/384Ga9ImKrpDDM14jQI/PzZJ3snVVOgJklItTQr6POW2b7LlcTVc/X2Cavq4hEq/C2mN34bE
tbQ1qKvCXXexh2YZ3Gt+HkmJ3YB5ZFKprBJlam7mYb7NDcrSlQ+Xc+9FmlpPc+0elFU8Ak9DT4PN
ZcoDTZCD1jjaLQjhSa67QR8+yYVkiczKhXIJzUgZc7ezeGr3bp4sR87le61l0j93KtvbWjZOa4Wy
Hm/H9GwgXF2bFf0E3k9M6FTKA4Fqk5s1FZ0VkI7jfgB3RW8+jtmxMlJ9P/skpa0cc252c0Mq4Vmo
0PID+oTxE/tA8tRpKX3fuZYmlKSkSJ872jeo+7LGifYIAHUFDYbVYNURHEXf2zXutFEuBxwUvEfd
U2xVpBWvW/QPyJRjQEC9iuGmdEPGkpeTXaqTb9zy32E/8BhQ2aMP8pzOsmDbGeVDFPXdIdQtdp3Z
SM33mAzpKQCzVWdXWt8vxx9/ukUqW2mbmaHhe5FXrKt9U9C+ZWXXA62cjVNky+w4cSPQ0ZM4GUga
ivGDGab5YuCA8rifhvkWcThDCcNN1V3L2XLfL4rGVdfN83ccWh4BULOG7r3Anuc5oUGd3s5yA0eG
fmPnkFbstKELhAi70AqrmVmhxGWSDd9FW9mIqtaJOeffoSDd9WBcksDm2BquJMGX9ECz4uK6RXwj
ClcyeQDNvur8ab79epD+q5x8+NfITEPX2Tv+vrD9n/zt/a14+0tl+/Ujf04nqWs5xRsWiR4e8Nqf
ppOe9xs7lECuyOCNbXbxpP9R2JqLBMPFWI9b3QLvstQFf0omqYYF6g6KUVAbWGT/IzbGMnv8/0XV
V0lLOCPvgjqZXf5XW3xq1IJhvKXtfQj3MB7Tad4PvtU9/HRN/knxtpTHv74MUHMAgEusFaKSvx4l
ZqMDsDXTkepmHG9ZVUxrc9C960ISSv1vlvxFTvLLa6FDNSGBYh9mMvzL1s93kUL/McP9ZFT+NYLl
8ezwwB6tmeKpdop/y7mGbfG/XhK5pGNAwQUxCFD5lz2GTDS7MVx6wQmBsXg8MQyc4PJEFT0+vK6B
B276iYOiKbY6uCATSWq+sJ+gk5U7CPNDYI8jQrdBYSOpFyH8UtMyl/Bb/b1USQtbrvN3TRj5Oznj
LAIeLYhzVuVxao3iNs8Ij8u1tn/EkV8emfbQ5gwLKKBTn1ysKAXVbkZlTOC7josh6qZN03fFrdCs
+ZuPv+MpJmPgya2jsz5MyUa6eRkwwGWlF2Z2togm8II4NYdb0Q3F99mcq2si79JHgZV2VdLS2ALE
KgMjKUZSGksJUCus1g2bw84b9WrVEnBN11OhgevN7goXcHVpa8KIehLI3vQ80va5I5v13Gpy3wAX
5eSg/JCZriaqjw431gl5qLrFLhgPzH3hUK2YbGz1TrSvlO++zAgpaF2KPneSJAi9+iRbTd0pLut0
60LWLwMZcp8HOKoZAuhmUb4PLV5VXEfec+pn4s6PdD8OpN5RyXtdjVDWXyCIBcdXejFpgkUBcwtr
N4z39yzO6egkpZVfw3PDjExnvzq5tMKvJpDLT7D08yALk3YtRM69lyJoQvGa2teJadzFKtGZseNG
iYEGbjpDb18LtyKGWen91huReIJodIrPdqG4xmX8MbVpvY5oUl1F6BZrUGeExW46Lk6Mue/cALZ5
tkzBqaBM5pM+hzCZOmVkB+LidW2dkZSsr7RKu7ecxD4wKSNVS5ZEdE4wqvU0Gj7xrfXvmTGlOfsh
B7GN1if+kUvQEQ7lfDR9HkgSoS44HPEDuvknljW54vBIeCxjQLzEjz6uJ25SZrZMfOMV0iQVdLDw
gookpsAPEwctVX+Vaq0FghKhFjhZL32jiUf2u+b+TvanuY4xHmwUoXF3oeR46MTdja2kNIizdi1u
bZ4eZYsRnZIlkFyP31SB5tRutf6ciXJ+71U1BXyz9nutsuw68Uuxzua+v2soLMkA8e6axk82gz2/
aIy0L2KOxQY/fnfR3HneSJ/5d1n6A2cFf9xOhXVbyuLZNcOK4BSmd6NFQ34kTLJkmiVW4TiQEuLA
aklxBXq1AE/JEWqdRUVmbxwxTFkw5Q0+DRxwkzqwPZMRTuOt0fVVqFEhPmWoh9GpUex1/4+9M9uO
E9m69aucF6AGBATN5ck+U51lyXJzw5Ab0UPQN0//f5G2/5Ll2vbxPrd1sb1rVFmCJCFYsdac3xzx
pxhVvelnJBr3TpP6UZcjZJj8Ybz3ZvIsA4vpwEayF8jWRpihuZUonvBzIbHajwPj3HeT4UQ+LpFM
yCMgDLABSU4azK4lPrN24AV3LnaScYnQYEn+ps2WJ7p2a11NVei5xlcRvUgKQsX2NL4IQt2TXLGh
ke+Finu21iZQMzL3mikQD2k/GnJXT8RAffZIgSE0rYs745ShfO6bOyKRyqLeW0GbvTekyu6CAc9r
Y+q4garw5GEg7f7BC2ejIQtehPNq7F37RF+UCm9cBqR56L6Cvexs+zSKsL60pkkeRAG8ZjVlczJj
fQqwbMYV9sEWjzGul9BFKz334ycX/Jq/woWndk6Gfwl/C8ftCa/YnCE7zK3LUzJhc+6KnoFNUYcg
0klJA4biOPiE2LBZO8ttISY3SbnFgNmty5YCdcUwielWSMLE1PBPNTXf3dKaCOxlafRqMwxjcTvZ
jvpCbxvPLVzIaJcJB5/sHBTLpnejHLX/PFZH38yDm1wm7mNe1JyfnQ/WDq1kAXcBlcc6g3xZruFy
8N+k0RVPwmcPa5vd9CoHVruQ1VpUd1ERYx5qKSMsFg+ybXlu869N2H+rwN9UgeC0fjneWFd51Tx+
rp6XgV9/5vt8wxR/mQ5CC8ZjrqVJaH/PN85UddehCIHRw4zy7zLQsVCi4WOktjgreQWFx/cyENpa
YInAd1G2acdL8Cci3TNg6lnRZBJASGs9gKvD4ZzgZZ/ZZApqhmQ5XfhdWKfAZnHszv27Zgicsjml
ZuExPM7AOMfpHtkHL5FLO8iLkf0xU3uvW0ExQTh/cgJA6fZVaTCWcfGtdzF0DhSePD3tvs/Sbgr3
mZ/IJLmU0ZmSvvBvyWkK64VjvTEl0iP6BlGPqSW+tIZC0qZbjb5nwJkwkAsM9JiKExtSoAmZDep8
RrULUfm9KBtCCCu3owVzl9YLNeKWjvDo3TJ67ePgJklAuXaBg6MRVCfNQNmXGF/zvlmgcXgzy+k6
khUdzq8V6b9PzW+eGouv/tk+4SfT2f9t4KaVP+6dzj/yvw8NiEDHlDRwPNvSiMC/HxryBmDSaPaR
Hu6BL/t776SzBfgpn8iZ83959tBYf/Ho+QCRidiV9IT+5Jmhg/5j2c8USnJeml2OwhPFvd6JPOvw
FrXX0lBxRxySCsMtm/uRyHlgx9KtzItKDb4oiKnyuqXfZ6LIC/NtB83TIrxOFe09rbuOSR2ENFNs
cxICIBHzwgEp4t/RtlEUZOs+LRMoPAp3a7lz7BEnOcXJfEiNcSSNmXg4AQu/YQjRDqiVOmhE6qrM
57TkBZRQBAYwitDPp9OJrchgHhH5zZhuwvA+tWuFwcZ9Z2hl+AhIPFqbYASQ2ajLtAATUxCehpNH
6oGmC4JzncS87FdBgcUa/y9UDcSUmLZzfKvVykWe8XrR3BBaf7xFiVsbrhIah81WxDoMqYFfAZMI
SgK6y2nI99PQgDyWQYVirYhq7zogcTyF2AWCojaMit+ppfcIQVDhGzpuPdbSfBUi0k/Pen3vrN0v
nRQdf6El/UKG5ftOy/zHs+Ifam23YYRDfcXsE09Aq+0BiJqASckay4A2D2COItEdUZeajiRM05YK
G8kHdc62A7Ll68tRIktthattPRk900hhVWit5pKmkKU2tKLHLQgPTD5JNsqjy9v7IUjhkIhuDNo9
ObZ1t4OsYII54lbfGDbk3NsaYq+gcMAF1uUhXBQ5kcia6jkmCl2DXWExeLSMnKaCKoQ6ipSr4lBX
IRTCaOj9nRjHkTUtrdY0X4doN4sObx/UISXXOt/5yQsT8xF6MqWH5Gnc6S3J1iyd+bFgiUcS2hRy
31eTurNKfBWZ2+XvEKYBCzOJR4RmHnWIZ1jEN6LxbrAeYP/F0LhtYpria0VPlZvGmqxhS6RVvZsH
Bj7ol4KbSdaKvUDTr/vaiU4xTgtvVdlFducyPMWUFfdsIVKjOnZhKo4dcKMNYa3hBy1ZQieaWsHH
sBgsNsFtN2T7qKvFfYiM9zg2BSbAnKg6RJ1he+c7wyeT6dpmmEmmDf1mLlY8AQlte2UDXogm2mwR
iNDLwiWBMIul/15vxfdDG8PVkvjc8IgOzN5bqkp704b1vXTy5romQPJj3hV4K+tofoATUhzChXJ2
bRhmQGKAgfhtUEZ7M1dTeQ15CHdXV6HLXokhCXEnZPg247B640Z1B00/KI9lkERvO7ZrBAV0Yf46
Qxm+bpdM7Qe8gF2FIrPxQoei18nMWxnX/XruJjvYVaVDKJEvQ2wNSvkp1s1O3TRFGOxwr+VfSiub
wbC0FbQoYDYDTAYcXN0n0H/OBrIDZgk/cQ5pTiBS5YjHaZzfyryRa9wcJLsFAyQ3hnrEcUXaOALe
undfYQINkYuuMokFsfn3rfjl/0UrI1jhqf7+c0vxmsF5/H/Wj02VJz++Hb/96LfXoyf/Yjbqgs7j
wRCIC3n/fHdjO7zodLeRjhS7CwrPv1+PGB+gD9AqoLco+DF+6ntNaf/FXwX4Q+eMXhal6p+8Hz3z
p7YY6D5EZTi+qHe1tOfH96NH1G0BaBerASZKehZBFnubpY14ZYihCeB8DYrmELqg2D2GYo6cYynK
wF+7RLGVa3TKcCHsZSqQisoqqg9GjrS3gQsDEQFgH2AqTKf+5RyCBlMVEJlKokjpnB501izSGpUB
8IavmM8x5QWCPp2mBRtG/zLgwXwPxUi9RxjMO2pgd6xWI8riSysWzmPZANkqgsKgfYHc0EVdicNq
L/BoN9s2M/SP2KTswG2H0YX4JHjoUVCL1ag0NaxrQXGcmRfnOKEmFfZRw24AkqjJa24Ag2fVqZJN
5Z/cwINv5mtkDnyvaGVpSJbFWDRZKwe9wUz4GsVur1kcKtDcFSGi5mBqOIbpWPLR07CRqjL6gz3E
9ptlBJ9W2pqkZZvoD90CDFUkQACuzpixlAAxEgzqRAHPB57S7lWwtJ/TJuEKnJHFiaZ42WGtWz12
w19zJngWtDLl4xzxc6s+4gSkpQuBUcPaQNtp3pjGFaLjAxeLX45hiJNxTDYE6n3OHgIVfi6ByfWj
aYPMSYqLkkzlazsz0kt/CIHFjMl0lYbJcETEnGEq8fgZz9DX0500dKSYsJgAbNTSnq9fKMAI9JmR
hg6JXn/DBJrT5jWXtn0HGYw38Hgm+GJogaBltjCrbg1kiGpVzZpYqvAkJyu/zWEMybznuoypwTnG
k5EzYpkdQ649w4uoSCBrDgdSJWLzLZITx97RdDOqFXaxp5jQWDqDQxk8zDlTmqWVu7mMXQfCEWir
RbTprYe7zUHDC5gFjjC8MzzX73XDhLuWSmuXTegXd3RN+E3ko/Hnt7GkBqecAVGxO3KuXjdwN4im
5ZsN7A6PSzAjFKPvDb4sx/zOezlqufkMoRmKg3Yee6PqPmOFAsNodqDD4lHXbV4w8QVj0IF64gc0
AMFawrI5lfRDE7A6OdKWgVsU9CeP5WWlIDgcvBSRjpEOMGlwN3DeyaLLukKTomxwMFDRxoI7JrR6
sLrY0SPk9ho5NOj7ZEZK8x7hLSIau4OrInv1nogAflmnwWN0bWFEapjSzHCMqAULmJyCOXO+hRPD
4/pmUEkr/bCfUXOhC5d2tHsuyShwSk4IaV4Vi8AbGaea/eU68JHOPLMOYBKc/9znhjljkXKkxtwB
Z06gJsVo0TFooBjQMT01G39IUr8/83NqSUAWXT7XunfGClYZoDljpdo0rmCMoTrKeWujb9e0y0Ug
g81jOQ6rM6HM4w18TNgoYFQ0Z/4WUi9uMEPDLRlMc31CjQEcBNie2VxYQRwmNcczPofU7uByqV2+
wu4MxqxQATJHxbqF9NdjyP8qrYfI2xhNO7OeRkuwMXPlHVzZmDszRzEo68nYkAiC35auEJ/Xnppo
3C1M+ekm8lCEK9FgEFihKZ9eF6Ia49dzO6mrKCULLZlrcHAzz3LGTPgIRBOgXGHhZFg5bgHeK4M9
lHZQzk3Nt+2kgs9J03R6rbjRKYTirH6fmfDXaFxG+7CLxb1nc8+jKBvDHe2EZrlr6Zo4h6lniWTO
GVzSt+WOMgKMFJscb/l9iJBCnaLKkzCoygLJM4FkCVYIGJRoI3W2m2Zd5Rp41iaCpdkKZ+4pGBLc
4DPylXrdtNDszDHgCZ9KoFp1D/Eplfi4NhmABhr9WKyyndV2wRZ1NTTQYOCJOLN6CC+y7ovC4nxS
UBHhdkAezZNo5dVMb7/h14sobD9HGRP+JJbc3Yyo7glADh6aBETdhaOgjPUoBOrd+Z6HecsPQUfn
LEEC8WfvuUAdNbtRQo3mc5p62RtGq+5uBwb80w5REOsbkjrYebGt78dg1mzCGoKfYS98kV+XtLRl
DkO60MitJKmH+yPzjNqAE+WMDTJSw3rluDxdOWYWnBAjl9fOJ2p3/h1RRM7DWHaTtZ5q2cS788pa
VbHl7kfYsw9WYpflwxhFc/ZWjjbrRI5LLVlZw5jsnRj+UaCpkfgMCsKlerH2dX5yPAXHRpGNREIo
HS9Ighp0dAZIjouGEebUD/3ar3xF8zKOSyu+EXM8H1h+7AL2WdRTQqyiqqxI+qiW4KIgnRqOrhdO
TILaJMhvlzT/QrWrRfF5Z0QPZ1QmQouCr6g0NakNXst1xTPZbGKWmGpljEKma5wq7ueqLB6gzjUn
9ik9eK3ZHyfqELu5B4p3rAL9ImrdMr+HSKwueMf4ryxSoUOe3cHeNTX0lhp+6DUD2+qi7cnnHPwo
fpN4NdI4rEEfaiKbmGXV2JQJQGlQogBf5xkgudQqGHp13Xxs414BimJPFr4yY6fCD9UhTO13SrX1
zmBM/IrwmVVaeK9DNE/m29nN2aGtvKpwwyPZggWrKrsPPVLGIoJnfqNMVWxA9rB5p22HZ8PF7Lgm
S6w4WBZynFXiKB8hTmbvslIMpDixSTR7IN4yjTNGDN4IAU2UKp6JpGUwdwi4LZt11PYgIgSy14vO
dpYbf+q8UwtT89bDiYKt3IB8U4zWG8caqivDdMubZMn8kydC7l5L540hh9lGfqpQsKlJrNLM6y+a
aTCvPDoE9qo15PSYO1X6ZvaKN07q1fllXrfOLZQOPZxqR3/tLORi+YM9PMHUCT7GPsOSFt3WauEm
29bSSwgdnZvdbKTBwRzqYTNDC98WvpriNXJibG12m175KDdnbCW9+zlljrJb+jHkPZ6YIMTHN0GQ
ql2WeM3eC8cPJC2BA069jyhlGd/JuQTMV4udneF+FJ1sbluTy+oGpYu4u5g+pb24hyMPAmVs2ys/
iRGALrNcV15f7KrZcPZhMHiXCtHYNqrb+zroDdhXLpXRti3q6qpbQh2cCDBOAtDdouJFdgXN8iTa
hhCmoGpxPPXOZWUviFbkVG6HrJZ3k0v/ZKprf2sEdFBTbejgDsleOXW68ag6Ccq0bngJ4O5whnIX
EaF1zBsbUUxlr206owcsbs3e128IG5MjLYegP8iMLwxIs/G+DSegLaoJrlDG3/ZJITZdWZqvM6ZW
l9Wcd2/EJIzLuVB5zUjF4+dGatePHZl21CVCLKcONe4+TbrqHXpTuDNFXwwJ97fI7gWusoM32sa1
qf1zvHm9TcbEt/fkvEurrDiOpuc9GlnBvKuGM2R5OWbIpml3hsdtA0J6RIlGR2xvhvCqpZ/VmJYT
LGwy50UUxd1xKOVnRbYQPRh6HZYy8Z9EpXWc08Z+DBtT1RtgDdM7Qjy2VNdslsmsKmHpmhmcVMe9
h8VoXbPyN8U2Ie13ZSTCO5jtZOMqAnzWinnmS8ut8TLuDeSfyu5hrbGQ+A3XrpPm62HMcmsbsROf
qcURCqavk9CCvGmlhZMfvIXO1WcWf+I4U8F83KfZxDyOCKgohpQIqdEO950bGyxMTeIe/KwfH4ys
FTCmXfDQWPAsVGGKaNA0rree22B2ankuErsbH1DH58fFnemkNHO2W5Zuwe2qjaipl+xcIBRvxmjy
ucVtwqCMUyJ14cdCWiTBJ0JAIk09xrDatW+Z0fVECfhXbla2a15e4V3RC/NdMLZusyJWNexOWQ1s
/G3rqt6EqOcG3cmoLTxFB1YtlIuBDbCQka5B5RSxcQtvwi4YqWaHim0IPEL/fVjn8I9DGi3ILI1x
xuAM3qdZbMRqKSlhkIQdw1xFrWGOEc18s7ff++jG8JX3YB7XfuIjrCRNThYXtdnw77OKkmtjygK2
5tAIgJeypwaN8agCxx5bChF30LOGpFb5fDKtBeCQALhMLZozL0T/GQcG9dmzHf8/CGa0IObZPMZh
3CPZ2As20MJjG/1CMNMzuktUl6TQogOAoATd29PbxVn69h26ZfJNwF9TjVSlzBGVjRkv31+fgEUD
/eUZIHPTJ+LpxPKXoRFj7CJwE12EsRs2GDZfHajdB1YoNNkqjig2Q7VP7CSOLjqFWXir3Da8JhwS
+qEJTRGQFlXlr8/qHy6L5jxKk7LdhRSlT/pZx720e2yyqRMd0HlTpE+8/bcTEj6CbjQusiPnuthg
yaU4MoZIvf/10V9kUDAX43rgQtH/owS3zlO054cH5d+XxAgc5AyN+5Ba9QzloK39IuULiWdJ1JlN
lst9hpvzaOnyG4WIk14MTq3EjePOQ7aszKyL4kOnd9Cqjsr06cy7HkvNCv3NCf/8JUoPwB7qJIGe
zHp5vYYgIvjD8PNDGQ6oJANc9e06djON60QuW68ZRJRbd2rrRzrr8+u6syYoouzlk2pqXhdwYn5z
Rrrn8+ONrUVrju2iOkNFeb7tnl1CQ9bGAsI1PoAupWw8J3icGdQtLZ4WxLbe/p6B7w5xP0el2abl
WIFqsBpeyWv8V3oPxpX99YnZ/3RiqMWAhfgWY6Xzd//sxMjiVKAj6vig3IgKNarYe+F2BLdNiiYe
zba8o93tO0fo8awYEwz47DQ4YnjdO0OA92rQGi9zZrfsnOtiC5PJ3kjYREFCoHxHdkXNHeogoUb3
esrA5Mk2CK2gNPWaqb/SjprPXzelSYHlpcfiyiI0KxjMqAfo6qYoyXUd93iOicGh7uPblZ5iB/Tr
yyF+NB7pW931gKO4eO5oIf40EMaaQfgG5pG9HUvWQFEtZXzy8SFzz0ycPQs/RA/hD8ZdKUj9g7cQ
c1oEWy93E7Gf5V1kE6WwlgtjGxAL/CMXiz+RDs3R9twesoXSX3aj5yQop6LkUEV0wMDFQ37eRgP8
hWUuOLoUGc0bN0MVQwvcLj6fP+y/89nfzGeFSV74s/vipwHt1WPbPn6K+/ZL17XPtQ3ffvJbI9oN
/sJdTFf7uxQBlem3RjQB0GB2iIMTDD31BJfO9zeNqyP+QnNAkAw/ZhJg8zwA2sLXiVbC5NXzjWH2
JwSeF0sO3W5Pj3ylhX8OocSLlwYid9fIlKEOfpI/IRMK9oaPfDrx2ec9uzr/8NZ+2fDWR2KhdXDs
MUBC5vHj6ykvndJZJosjiYU2s6k+qLKaVmMY9795Pv/pSByD0B/HEz/7UaPOoPrD6Xzoxqxfh715
0w4FyfP18vDHHwnjJfo8yeFMjvXjRxpwigdVs6jD3GZPWZ49sdl/Svn//+YwksWGoEDsGi+uHBXs
0tI3UYfQ0JkTfl1jDcAPnk3Jf3HpuFdZ0TwkaTCUmH88ryEiZRZOFfOJhrBoLicTuAnaPv+y4U38
6w+lf9Pzdx23A4UCPFK+J4Yx/otr5w3Yiqhg1SEe4Y0xQnvNMBIG9vxwfq39+mAvS6PzwYgCJcxN
gMLSw6DnH8uwZIVMqFKHoNbRtniDDqkP/xzKwKPpa2OkgxnLIsjlz29FJtDYtgOP9wVIrR8PzI6i
p9FcKoqZpLrr6YWsZGBk9Ej5p19/Rn3BfrqgzLpYFTxGW96LcC3YGqiTq0IdjJ53Q9GreYuLLrz7
9VH+4dk6T9S+H4Ul6/mVhDvjDEYPGsggRguG3PQwFGN5OsuL/v+O9OLSYd2Iq4Fg8UOc9/PGndLH
hfKA1+VvH6+fZnGctc8iy53hBQ6muBe3RxUW0i8qJthqINxW0b7OVrNCQbhATN0GgP426J2tXR1I
eYAOX23OeU02ARon2o+uux4rupL+hFi9QeH9yYuTYn0eBhCGabEvz55mpovHaMEcq7wW7r1aaKCK
oKqZMfBXALgWWxP7F7t5/NMe08Fb2jbibeaJ6ohGJfyA3mHeQEmUh9CjaVHNJYL3lPs58yY3QhnS
YxcgxsLfDBCcjl1HK6jP8nLbCa+864zUOZnBMn46K+XPWvjBRR8/Azu8GP0WcUns+XG1JfUFSKMO
9ktazudMey8gRG+yoSOAHp88A7qlYosOzw3EEplzIGxzGMe13QWENiOwr81w2qY1xmKjUQaJ7Xy6
BZblqki9DoQ5LLLQY3GJI4SjrssroPQma9fBG+nWA1GqJ4dux54GOAlxZldtfMSfe5+J4xovvngb
xYO8mCIr/RD5Vf7gjhk7npZRGqwuAYiLX8RchwGJKhz4N244MFuIPa1Qte2ZZ31yHSpssI75A80y
7NFYqm4pursPIZfmIk5rdeP26ZNJdxWhkSveYnt8glkS3gFjrmiw6LNHUHox54JIgyY3KddkEOTx
K2REhAZNTDZY0TuSsBH1DhHR15QBqFSBz6OrRa9urxzquusIa+JN6kblk2uQBWBVGLOBVGFLEMZI
AP35ts9hEp0WUqAvURuVW8gvfMyeNHtARjNbbRXd+4ue/EWQ4+AZ6UkuCQcbjPxUh3k3VMu6Who3
3yelMNWV1Q8q2Lgx+Kg4VOwRBag6MtAAPLOpN8vm0gDl9hb+p7yfygxZLTOXE59x3oIpIyPB9OuD
gxDlocK/c2+XFfcPcxWJA9SRQ7YiwGGodv1EJQywgahzEsKIhwKeh3xfKDRR7GawHKRu8NDWaHiU
dkpSB/OKW2ZCxTtboWyCT67ih640Igilfpk+BqALdoE2mYOyxC2WBIilWjqPr0eY+O+WZsn2DFo6
iGVGA2kuBeK/bJeUFhe98AipFdEk1sclUDpsgWcL9BAgh3yU7RtImWRcpo68OBvtC2ZCctX0hn1y
TQcxtTMmzJ4zvgkZw0OqmVOfpjAqt80EgpjeHuJjwnhCC5E2J4I4OsLMY0AVHDdx4cbXUcZgv48w
pKQG31Bv8+rrba3dYma1IcgnvEuHps82MU3YL6UK5IFkNj2l0WEGDDHfqXYe9jSc9IYVf+l2Gf3y
NDoJ+2REqLXRmesWNVbQRF86PBzIu6Y7wscOXTV8pJ2ZnAoSJbY9JLsLXoXebdzzUFolp2Va+XA1
kHi/jTKecwcJzkoA7HhLW225MINpVyxevo6WSXVrVG4tlNBEN9S7nJuaVZFmT67mDZkowY1NUUlG
Ck89UnI4OOQ8regmz1tMz/JADNKwt/R7Vzl8blGkj4xvsJqPhAyRsuDf2oMWLES0klIQCaep546i
iRx+0HP+tUnkG8xArTlvCW7SnO3gpivRtLdGg/06allzYifzby0XJ7Fj5o9SslA2DesH/UDvdkkQ
sommmTckEjKWlXbv34ZV1lxaY89Kdq60+gB2YG4W4LEZh68Loc0MI4duiEA8EB3erQUYyk+xLAHp
oW2MgtbkDkaxCJbnxlYd6K/R9vkSCnXTIk1bJRXD19xS3ExjzSx1VViwgTyuDkP6cVO4vbU9r7pj
nLzvMt/6Yo6sVoO+RyTNuOssxLSUSnqewwzo3hupJFaG0cnrNJK7Fi8NcS5AHaSte0AdqRbYHqo3
zB2Cm8ULy81k4rJ2DACxPd8w0DaT4SCQwfJ+YHiHS7QsT+HSF7dtz9pjRKweY8BDnw3Q7gbYaTDK
ZL2KSuDedijMj4HVdxeDQUpPVvU3PqzAA6IrcLrQs/ZFEBlXXZPc2IkNqC5N25t5AqEPPP9tYtrj
Wz8j78SfGQ06iwXsM8B5W8Z1caOMJkTBD32xKWjIxk9VFEZrHOZveJ4fmsGMDsLHnxpHRb1GAaBu
nLkVwPhnMGCu89GQFXwAj5feeThrJHH+UJesvMDm6EUUvnWfmFASgPyNs/q6yLpOq3YL3wGkQhtl
F3kta97b5XpAZdIfCiGdZl/GBCNYsULO1gYp2UB5zmKWssmruUXSoFgD3kefMdZmsPKVh/ufGWqz
mYeannSubIzRoEQ6k/njWBcrVYg3bSGK01jbxaki3kOtK7+vT3be9pueSDqRb2imI8O8mEcxFQsv
n1wb9/C0hq9rMQI4NyELGnuHmM/4RP/HHpg/FeHgn5wBy9kqdHsUSGtq8aYHDoZxiaFQGvsrHzbi
FyVddDVJhJ+aSQR4Rax1uJ9qaW7rdmJdn30PM8m6a7ruVeniP2tSp8cF1PrQ4DsVN0Q72D16dNae
9oPPCACt+ZTfjak9IauxXNozFNeO1hPMw4lszmyTKPOj4/cHBYANv4hdrBy8LEgSeL5YOIZbKVPj
ykIIkG46D0mg4Yh5z3Mq7FWVYinvc787iBr381SHjygXs603CjSjZuVvEGBa74pOTNfQ8irGplFj
blAJ9gZzDnu55nGNPkW5ZwG3BkWxyr0poLQ0jGMySRODENZ2UiRdlm+H2E5SDD0siKODRmej+MAH
RgnIm/xZDn/aW0aWDUaJEh6JGYSJs2f/Wa8NX3Tk9K2ZH2peoBtXjMNVFxHmiaiYOqGjtLyebSNm
vrtQV2RBg+KjEZJRYxExag5+t1F72ew6n4/WmJPYqze7LzdqgJd4BjifprAeenO+gIhUg4pMHsu8
fx3OvOZ+Xfj/tDMMTAvNOkciKp4+x4v2fusMsohGBfy1pggjw5zxYAn3pizjs8e8Ov76eD85VPmE
FoZitOpmYNtgRH/c05QEiWQOmgsWlBplM6tEBYa1HNQmbYrHjjzqbYYX/8aV/vjq/NoZq4WZf8yo
Yxej91iHGfqJaqmHPdiM3zVO7J/2XJyf1FYX1/NMOkkvtidKN/F9p88OcVE4p35oiydowDxTI8GJ
JpgFh2I7xzWbruKUOTtJcmxmM85YWRTaCR+CUqYEcQxfdhbsPFHz0UrMicy4cAQ5hSUC+8vMpQfb
DVrBdiYURSGrsj2xcd06jPjvSGZ3HpFtMLgI+GPvG5Z3O4dI9FfhPOUPZpKkH85vRSadCBXHJRPx
bza51gtwDCYgrgUVpWli8IZZ8eLmiJg+p7y9AC3qvCqJPH/VTWm0Hm3nXZ14xsGgbFz5aSx2skFM
EDXd6de3y0/77AA7sy8kJ4Lk9Ce7dje7I2YzKzkE7Lf30ogwrTnj75aBnzoWHIVGhQ6+dwRjihff
eZ/0Q+iWVXJwHYpnEmKwZyo8D7UI2Ge4GVioOWXzEENkfPfrDyh+vsaUKLbu/2ivOPnSPz4Ps5VB
Tc7H+ODguQwPDIyDy7OZDwaqvGgrYkBvAgPhHVL5B4CI9RM0tnEL3F4CiaiIIdHrbdOt6rwnlyzq
FOWkw2yS+ju4TKuSTEWk2t1RE8uirx2Xf/vVv+lX4+j5pXB68yUHM9h8ed6p/vozfyumTUSWIAhA
HiCXcXH0fG9Uy78832N5+9pvFixQ31kMwV90ggQwBljhGj9Il+a7YBqCgwPVXT+oNKWYCf6JYJos
rBf9rcCUrH28adBgswqc462evRezdGBxW0CPIbWJ32FdKdXGVTYbugmHJ6OTpuh2qp5f5RUN5nUO
H42xXwAJwFQ70O8l5mN7sd6FSV/EKzIXSEUPzPHL1AGg8vnlgIIhnxMk+ar0DYN9X/7BMdie2Jgb
diW1/Z7ko4i9XoB5j4uYHOgbybu0G8vLCVTydU4GODaE3oQtU7ehsw5JgCC5g5iivgqpYDyi4bqY
tycrTHMx1biF3QLCjTHJdD9ycmJlN646klQVHtFUdK9BpTgnJFwfkPgY75K8MBgulUzRaigwYE2j
rYpYHxSe/JuFjdOmmNpb1FWfAdnwIUM+KYLtW0qnbBcgMd+ghiUhlUH0Hm3wkwJbPq7MgAZLacKx
kgqFE3Jt9m4LR48Hcevak7lKvO4Kuoq96oW4TSz/Hmf3FelIpN5M5R2mROtyGqECkKKKIAofOH8U
6FyKS2Lg34UUYuvF6iZ8z9EH8tqPGiwM18e+zWa20VKT76vqbkJcTEphaW6UHccoWlS/o+AYwJoB
efaC+8lGU+ZhwMlC9CVDX69cya8OakQl3uKZN6iljR2OGAy/bZA/VHPvPFgT7DWbRuKaXBF7x1Bv
wn7V1QT2FE/tol6ZvNIOIQqOzpnrx8qxmnv6RKickxDpoa3y7egL9YoOwSH0F2pm2dU3MzSrd+ww
7902qfbMg4k4bWfgrSHcNKIjLVrNrr/Fw/UmX5TBJtQe3/CixgVaVK239iKNmICM88kw6wYBWm3a
tx04hOsiqWNrMwpyU0C61suW/vGdrUOE7AYb0kZU9us277C2+GznbDt21yFPzipNhgQQE8CroWC3
t6fXDKc4UpZFfOjMDsWS/qqDn1BdC0Q0FwQqdf0Oro58Q22bXDiFa35w+OCbFjDGGn6gSLD+ZFW1
s4gIa9DGzubFSIh4d6wAbeN9S7v5iQbRYpAhVsGbmwNvvMpFY6NGhKe4zRkN4+FD8EdEsvW1E/3v
Qv+bhd5C7ckq+58tMjvs1smPKUjffubbSk8cIb+CMT5UFYe12+fF8d0b4/3FcI7KCvs008Bz8sf3
pR6/Nb4XRB6cgCkYTv7vUi+cvyS1kC6gXc9lwiL/ZKl/WfoENLgd27GwbvOPP6kgonEyF+J6+oMQ
PSxihLjstBxBY83pCeZbebIpKVbpfm2CGAXEs2v1+zEl6hmURT7jSWzfeHNeiovqGpn4sEzdfuzF
sPVmQumshB04sQ3F4b84FD5ZXkNMKU1XX4hnb7TGTgfLKmS3Z8lBFS+skR4ZKkb8ufV/8am4lAGz
IcZuKEx+PNRiTZmaHQdM+DSRvQ2cbMNmPlt3k9f/ZjtFmfB8DnW+gIiQcBnb3BQ/VejT0DF0kFzA
gJYWjhNxSxSI+zQNRJWXISbeijeQRkmslYmM99eX9EVx/u3gumblLsak9eJzwkELQ/pu3d6oHJwZ
6RRvS8upf6OHebEh4ygSV7MAC+AQHUpl9OPVbCPfboc67PcNqTt00wR6axiVtTdsUzRDxW8+1Isd
+PlwGnJLN0Bwm7zcgWPFFXZsIdaMZpew5az54tniyY+qgrW1uHBDIAJ/ehnxRjOb1ZoAh834ix1x
GMOd9+2q14EKuCDJh+TLCqrtr4+iL9OzieX5cyHig5aABIHmgr7Mz+5/HD1kFddZv7eTAUSgYVxG
2i8KtnI9mYX8zWf6p6v4/GgvvjT8gFGNlrQHujRaTLUZlQzEFqo0w+6EmBzSc/bx1x9Q6Gnoy0/o
ewxMtTCOG5J1+/knnOPM9UewmHsrdp0bUmHyh8jsqX+qBUB7RSxxX5OTOfuEWjvtZ7cz/ZOS9qGP
mmo/9MGw7Scsps3oqU/TZBvHGdfESoRdDeiZDDUvjphH1MtvFibr58dIavGEaVHze8gJ9X9/9s34
beQSHcBjlIy9Qx9Mo1ZWoGWGrWHYlIOthfLUJ3fd5uptBdkLH8zFg5Rp+eoaS7+9jlQU3NAa+La9
+4/wUvmPp8b6rJ9wyf9enFoa5G6GSrnbTwB/RBjLTdLE07r23W7b/g9757FcObJd0V9RaA4FTMIN
NLnekLz0ZHGCKAvvMmES+HotsJ+eulmtqngaa1JR3VEk7oVJnDxn77XbWD3p1MnW5giUfIMYjQFN
RW9DYZcmC1ZT1g1mtcqFylbtVJmAKZtoE1UEs1f0uc5xb8sb25uN45wzPWuHJezId6kdGYw898x/
nrshiNahk+KaEYa/gzSJE8WRwRan+KnLpcLMXBAwH7khsUnumTnEU8989SYXE5t2Z2ZYyJZiMxrd
Be/EfKBtMa8YujKUjIroykwm88WQ9JKwaNFacqcf+eTcd0HHUI28GzofSXfhN1e7X9+tPz8gYEAX
26srREir6cPNqlXs9u64XHSV3BigJNeogI7kZD72c9Rse8wY//IjyRFdFmsXBc2y3vz1NgtxNATo
77u9jLBoKLHFMf81rMSVdCrGIqH3+utv+PO6DZSC1Ya+Rogd773x8afbmu7DUHFtun02FQ0+9CUO
th4hodgMgn59qJ9vUzzEeEdMRAVQpr0Pt2ncs6kZh5q3YMCkukbLfaxHQsf/D0cRdKPYYJMd/fGS
MVY3SkROvO48acpV64fGAT9+cPvrw1g/r2N8G+RAtL0Woaz74ULlqUG/s2EHrLG6bki8yXaeLuMN
UsYaEoTyKSm48cG1xycZvEg73tcCEPlvPsaHFgAvjMClhGGjYiGW+0li3La1mNPBh99KntZ2bMNi
F41ZtxNjlwZrrDbiSCJHuJVm/b2oR/8+77Jxj9J9uC7nGXBWzgju15/J/tvP5Pso8gJwk+7HiiMW
hmFEiaP2VdxXR1O629Dsx9XMlPwmIh0KUQU2zgJa6bpojenSM/tbe4zvN2FQ1XDXi+8Fub43eaA3
8zy+EZFjr9u0ax6mivkgOndo+nEynqqpuCFx63fFxd9/gaXRxwQIX9TSRfrzWh9ZMixxdHFSk+k+
Bg6360cRPyWsYtjn/GwTKYCvpe91vLFkeZqS+XOQ+o9KeuGxb6JorcGdbBOzDu/q2a8fA7iJM6iR
k8MwfAeQm1lnnuGzzBjKS6wCvymPPvaE/7gt/vQNPtydY1fwgeuJ/gxWWoaXYXXqsPpsMsPcdAtz
2enp2GSZiXOaboJqyDT79V3wUSD9j48QmPSoApsI+A+PezCxlkxur5jrJx0OcACIXyirbn2hgCiF
5re6GPSLz9zwq5Lrrh/idUbs8SZ3kopYJ7WzTTBqElk/vlhrLFe+3TeoAkxzT28oW5Ncan2fsGay
VPoPvpNvXTNjOmSEL/Au5MEaXPPKgMNymOv6M3rtB2/iQDGSAfg4oXJ/c85/Lt0Cj90gDT7ICuZP
Yk4afn4eZSwIbVa8VBHs7qzYGDPuGIwmzm/qxL9Ztj1Kbnae6DkXaPxf71Bs6V4lWXT2DRqZMA2Q
Eli0jISew98caflNf63X+Fogk+yQxBQfoepfj4Qyqm/8yOVOkvFjbjnxS1bMyFbKid2EO+Vwm00P
GHnkEYDx61vob96+iEggVjgOLyYK778euovhm0eZCQjMnz5FXXCr/faeMO8fhd99Ycvr/eYF9V57
/vRdXSBpFkMGlx7tXw8YDobSacotyza8uu8d6p6JNAqc+cPaGebvSLYe67TQm3hqKG4E1PdBQV42
qVZ+/dX/9mZCAc2bhWmH+fG1nPbd4CYDz+8Y1N3GbHz6m+SK4xir4zX6pR+/PtzfvJoJRIV1tXDP
mft9uMhemMGf7DUXeZJ6T4MsWs99kPxmj/i359eik8GdxOn9SeCK0TiuyUtXe/bIch0MOkGyQgiG
FxFQOSqHp3MQPeqglgZjhBaGbkCx1YNxnmcy2H/9nX/elCPrZVfIphzLEoPlv17skUkfkVM5H2bo
TDQTfrxTcr6ehgknWGlBXVAl+SV+Z6/qvDd/81h9nLAuyyProsfJpm4nqOjD4WGC0kqtTLmfLJF8
aXyajqtRxt1FpZZL9rNXo6Gse34BUoAQFdvgtUzaoeNBEQUlluRkPk7jNQCPGFVS1/XW2o1d9e3X
Z+lvFpoAjwtBOtgjrZ+GbokRpJNbee0eoIbc9Qw5t0K1DEUjN/3NKfmbQzFAFCT2gCdEevrhcU/J
42ha6bd7HKzlD+FMaJKqBFWX4Zn/h69FDeoK01taaj+tak3VzF0TiHZPNq28C7H34K31ozPe/M+/
PoF/s4hxJNoilIgInj/uG8HMx1ndc6SUSckmYkTzALsMhKypsHbpUhCLh6f21wf921PJ/ho/jocz
MPzwPMexWXVh4hJXgIZxXQLEBdWN4VaatvrNoZBg8KB8WDWpNMxFKYwGiBXrrw9SkIu6R8XLLSIW
h6Q3EcUH+k2M84boz6pYe1LZqMRykMCtM4zGjp1jr7ez9p3yrgxcHq7Uocd4jNRUPNuE3mJBrfKg
3zRF4cHGIXPhMyNW4zoHU6R2cVIw6VfVEgJZ8ZWIOvDqgNjNwUV9MDqmM53fIbB4XP15Wwv82qs4
T6xHr7fxYhVCu/Yus0rtbZ2wSWxcpyAQvnsZzRIC4NnBJGfw0E60kWkukycFR2g6FhXdtX2SWqXY
GmZjncpZa2NPxMCgbtyy6oNr0fVTdOchN6x2/Lcx7spRqlyvehESmY5iTMTXgV8twYOuU2e73m2L
h8FgAIQIy6gPlsyR3k2xtBEzJulzqTDGrTT8/uzox2PcrIO+Rls75YAFtmUzoUrNBraT6doLmxHZ
J3522NaDO+lNPUyReS4NFZn0HcoGe3/pLsVVirvmM5Jr+iV+1On1HIhaPjQuwJR93aFJvB0jf3io
sAB028loQ//eJOMk3sIZjvsjRazetYEO050AddSsIHnOxAHh599XklcUtrWl/WeikyY3WbnBE2bi
Yq2LEqu4EiTWkvbaIHoM+jv6vLt+cJuXqLGLV0gl5n1XeeMqgnFzMBa8tINOD8XkrmrVTid+dR/5
NFEFltJ8xjJni3zc5GFe7uJ+ODnDNK5twk+z3COxs7ehsWXa2ZWO8004xrgdqknxGaS/99RobkOR
Eu0TzvWKinlekcwQn5Vo9Be/Q6Eq+gleuT98hqkCepiYsoWUtnLJuUKNsfUMr711wxJ+CIDiW/Ci
85osTescwBy5dkauB7sFWMgwffTsuEgjrLs0RYhNLFR0jMhFWuss7ykqmH9hFnQ3SvnzHdSpY9uJ
bpXi/OeP/JLTXdLY4U+51vZmNvN2qztJ4hFqZcSSpPmOTrJh3BXcAjG5L41Eb60xSPBoSxJcGWvh
oJ/s/Uzpeh/FRfNWBcq8gqeE/KVrPTSQnURs3cINhrK1CWhY7xlAukdZhPPKhx1/dMzUPqrJZ4Sn
hxMDs13qNhagwOm1NPv2tUqjg++Kh7SfXl0dVdvRDGnU9dFrCR8aCWpeBseh9wmtNNoIX73xCCE2
OqnISTdeXAdbEx0L16GdVyIL503CvuE+lcZw28YyuFcop1ejo666ifSLQs+w/ozqO0piDFROlyI/
LctDVQbDD6G6fjWl8KBzJPppN09g5ttqJimDSlNCZKnTsCNYIMBMaXPzvJQM6/XGb9lH8DJlkYBx
Pn5i9pvftCN3WTaRwBnk1hEg/7Q1anSsnjUHZ/5SbzUPxDb6gyAf/MGTB7i90OUnOyLIB4iZLT8Z
lrMDnY452rD5zHt/YdVrfAvNwclRwG/KQPoIm2vLD64Mw+uIx/YDGa8KVCTGifasCSapbtODlJwp
ApqrAod/OTySCKRv7SKDeFhWeXocM8CTbpi2N9ZoB7s6hTm10i3NuCRV5hfPjKgn6e82W382izPB
V/Jrh3LR2+K1rNfZ6KYO83vlPYghj36ENPeJHKjIQlg1oHM38xToJ+ZM5Q/ZSAJjJoBhbxVygw1b
NPcSVnbzCZA6aTOJmvYdFctjQBryp0Hxeyaj0Nu6s9vTu4o/1ZU42sJRL3ThlkG8Smbm1T13QuKE
7WsSB+3XthE5wCujffVbOz1kkHuLI+Hy+S6dTPXi1i0QR78ex42HVb/b9DOpTbgKgHHlZLps4LG5
64yC69iDxtn4tJC37EpDucvZN5WHssExDDIpHp7baCSJLHAZ6a/CeCT7qDYFOWIlo0EkzUmx3IPG
eCI7PXkw4TYQGyd7e6c4ncZzhZqkX2OwDZMzjhA+qpcPz4Ot+/E6Jl7tkgYIzogUmK/rLgiuRIIF
poGovhdm6j0MnU3WE5VIe/KaJLlko2reaN3ZWxpn7gXlVuttq7qcYY6Q8zjWpP3sfd+PL0XRDP66
cRP3wkPU8lBxdWnCt6cc4vLFT5LmixxieSdmaT0q/Mkv74mQ81RN+yDhpELZn84Gt+Zd48rmi7vs
MNeVN0PyyFvoSZzZ9OBq4p09Ax6XJUV7es+YnAfVfOmmRr4OCed19v32KzYENB1zn3Ba26qMTjHd
CNQZnfoG4cG9iLk1RiLTw/iioTsD0vOAhX4jmlKgRWhstGvFCu5TNF1ZvJabzRiiaDMgCi06a0hd
rFB9pFYkyVuPjTWRk+DW0VPjJZDp3b5+82Iv33RLuu7KNmZYcWQxqG9u79iIr4KWHAwz2sRGP5yX
kNkDRGH9FBgZ62IcpQen4acb04gvPZqFGZS0SwVeoRO6kFRdHGUeYb7Hq5dnGwCu0SkpO/5BNIRL
kvdYdJtsbhBbzzzntLEq9UJk+PQj8Af1zY+Fu46iqThaslvu8h52JjMX231Iy2R4FnXX+7in+JCF
a+b3QSebz06WeA+AWQi5a6oxuUxeWQGUBbb9WkABuQ081T+bJBjcp8vlXmgoV25moYUWAwfKCc7D
jge3jSIjuQjFWUMQON2asTERu4aq0dCC4DOa9gTQlZk4tmZSXXm4Me7Tes7vKdn1U2gykZnHAWHI
DKA72RpADH74gPsrPKUAElf0WxShiJ5BioNn1ORhIL/HYZAaXnQvErZcq6ZX7XQsh8FL+O7cSbPR
SpZeVH3DhjUruQCpB9tUkqd1azgZTVy05lxrUwXJcPTInqrWoep+1EiSCAA3y2zdliOKuzqznkXc
jJthVNZ3b8j6fs2j196xWsw/ahv4zBrCPwkLMnP77zYxSy7XDNWS0TScFo83udqbY24RE0nJ+zjb
hXEfdiarme+RHNEE7V0XVTT+W7u56Yap+aSJP7+zuiC+RB52LFITA4SygXNkHQMO8m5xw6nTvbQo
dsw7aQSKNR4ejXusp5qTB5X6mj1xtGv6SLKIebZP37RzegbCTvCGZb+7iYCI7YeiGA7vELWW1+aV
AywRLxCkwdt3jX5TCfUkmwEf3Zz86OK62TVkz4J/GRrnixtihRANvnsIkfXGdjTyIVI59xbna8VE
U2xyPAnIXJ1yuicQTt++oy8XVPKzXcSACY36ARj6NcHjENFMM2UvI+Vm7MPspqX/Y/bJcIJ2Jjls
7l3MsQQb6CPHJvaL8bqZGtfaMxAvT270AGqGWFW8ujGLbjkvbhukkQjnjm7anYZpKjYpz+a1GY/y
qor96hQn1bSi1KcEDBn/0UL9HIK7PZJpBWuuHpxvA7DeNjWtPW8n/nBUu608q1nrTpy1zsQL9TaE
H1PXX8JxmTPVEJbpLB/bCKfiGoItFV5WTy+BHuN7Yt/GnY/B2KuLdhMCUsRXRVZaMM6f6f+Vn/IS
eRXvHLZWtgFhJPPY4az9aRLJOstzIEuGiUslMsxLXopmp3qUxWXU6w0pduUdf/FpykfGY98aHktd
GN/3ioP0buTf9iY6MhrTE1giGHVhGnrPnuqKQ5r6zxo05p52aUIdSCm3KhcpU52OyXUa0LipLfsY
IZz7kpjRuBsCw9x3tkXoQ0payjjwMKomAS+c0yqMp8k7U1yIFxxe+8rV9Y7HiQUYO8G8ij00UyEE
4B9D3tsvGrziTViGM6qFUjw2ic7Wmhp257J28dWICgUtgv554Cq5g9LtzqcuXMlOQmfQuvk+M2qy
oU3i12kzbgNy7tHnG7qCitI0YIVEmam1bjJJUgZUoRklW+97FPRkEn0G+5Cf4rE6dHlbEJshDOR0
mb6b8f11qVHueBR3JJ9hQGHGRkHm9zelcKOnIq/XqRYDAeS+CYc56NL7gEi1TV46wVlNSOkiM9km
sHFWuSPdS9m4db1OxtBiaFHMx2mq8ZYAM6qo0YycB47UpCbW2aXIHJCObTYD/5SyYltaEP3TLDiQ
4RqGUfZa2sLbuxYNeFprEEvauaGl0aeGvg0jh0BZmtns6vwhxfcms/wUjql5j7fiJDNfH6IB82eg
8muCCyDFVaPPql/DiGPAs/CGOjIPsmnlQc21tBG+YuVAV2cAC676NYiNed0CAV9nfoW1ZcBC9qon
QUSl7X8hPvF7RADgGxVr8VYoAhczRea8X7jGzhl6kD0wx+4mj4qlIDeKoXfYzetYR0lDOaQPAyz5
9GQ49Sg2g28q/+DnC9G2El59McaFzFJNfn2hfUM4C7nQmIJ6RPnYLi03eyvLrLpDf1/eAdKEyPXO
jsySEaaJwkRVQctEFG3Ozdo2+IUtKoCTK7P6YYJ/NL5KKh6uW8omp8T6z1vCgMFZNFBD54UaytuS
3tlcWDbZPDQkj3WU2o/Ux+xMMVKLU5xrgMB53X1T/UJUxC1c/sgh/QEsm7vozVSZRXATdL1VvWB1
FfygNxiTbMJFlBrkF84wHAmpwWNsz0OIyDF3q4eiJQgYGgEhjHhmcJnuRDjS0SCfgtsjsXsKnLoq
6oeEFCCXGrOO3lzL5WfCRkN4AeiXuxsQhNxGlTN1+QZ3Q15vM2TFsG1QaflsYjQHzVJRqXM6ux37
RrMaLOKoiG2MyUu2+M2zEWi8nCPtRwCG4WTsjWkpATompNHq3YaaJaaoNh48yx7yLCkEKzhJsO2x
dmGulgOWmrhPF/Nf7OJ37Rc7dd86mENH4YRvf5xMdzDifoXh30rXM+YLbN5Qr+A0x169hxwdg0z0
VL6mF8Spx95TPbjox0j/TTPaPSgLQGNWOVGTjUUX6GK37uJ7dmf3PMmufnBHFBVcQuathHK1SyyO
79IPkQ0Wr7NCxTDsS1CDyXU4dMOPwaM3iirXbZJrz7CSRzAw9h6bW/UCw96/y/2wjdYw0c1H+Hhq
Omja8NFF9IufzR5MPiNVOZ86BYLELm/SlcH8D1T0mmvCs0vvP8F97wjO4gBYsGORsNW3lN1LuuLD
wrlRg/qeZirDdQrggAFGiHZ0b+YpiQKFyfMDjRjv4qGi/3caMXqaK+5DKjo3EU12JISOJopktpKx
uKQuvgGMWhY/a/D+Wpc9iLpVFfTIquxZz8UlGRxz3S4lZOFXdrcq0AY+WRmuy7aozRMzaXkYy965
K+NAX6FlSp/nORmfRlsMf7TV/1+D+hsNKvf3MuL83zWoz6nEuZ/SPv4D+3789p///o8f+h+7AS8D
fg+DPTpwTKH+R4Tq/AfyEyKKoaO7y8Sf5vh/i1BDsO4ukjTTBOexSFT/KUJ1YLdDzgKIvlA+3tnt
/wIXx7c+dHoZ2GB6Y7CPAwdZDLudD51ehNI1ZlLrEARTBYt0qIO1XPikczW1VymyEQ26dKoCIKb9
wjM1ezJSGcDUZ7Bv/Y1T080NJQRUkhssUiF8N7hNJgipdBGKx7qCfLoi9YiSrEPMHoFUnfr2M07W
XKb0YmX8BMOyerY7D2Z3OTKGHGxDfmOyjuMvwUnDOu1+rsx2AUzZyv3MRo5/hJwLJLZXG99zzT4v
J1xYf1+Mdn52SpUYb0in2MpSgXPU2dlkuQn23hBVj2xDY9ow7BPFTU8VZW3IDTMeDeGCK52Tatgy
agao2kqiaVGpiw3zPH1jSV1sZJ4EbyQtBvaZRIqA01LbNi/pMb7KGmbQfe61Sxq3U5PhPI7uzmpN
sYpU/kUQ33WOR9Z/N5jFxqXSf5WZwtptRUSBoB1isXbGZ9vOpnsg61Z8FAoINbiO5jZaXnt73tHi
aDI5+9SpAg6f0jRsTMV0nTVXUIQMrf/cqJTqwveoG7a0CVmV2M3QwY/CBSXvz6KzLy0FFSxZ1PSP
sg3E574RC60dBMEnEYvg6n2fpEdnOcu5xbnA4mw98gbjRTNhBnyMwXXC66UzsWwuljBAucC4FSIx
GiWdahSE+wpyeOAO1A7oI1jV0HrBVh5xHZ4tWfBufv9rYTF6XuPTl96KSG3+HZlq/IzrTDlE1AXC
bJOGTFATIRzPmQigDbu9F1x17FjTVZEwpdjEGpdWUOe88aoOCrzVG5BEZbBAI8MFrG1TmyxoUVgb
o19DytAdnR8ngaLG+5nFXHSBTFfwDeZzWCHNpP0F7N6OLahqmZj5Qngd+D2thOTX5TP4aSOY+ACj
1cIf9OOMs0v6DBIYDLPRKo5wHG9cEBzZJgB3JjaBX3v2TTQsyGvVRWZ87JoBCEVcZ903wJXsp3MS
yRn3L782qVtwd1gdYa3VRjWoYeUZCwxaBHRe/oH1COYOpDGAOM6gHJew0Jle5/F9P6l1wmWZFaSH
d1edYDtMp7G3zdsgHbyr9yN6sEk0nVsKKQil3JvtYHN+M+xwz6PMwWEipYEsLkZ7IIFcWuKzOU3w
M0Ss67NnSkAkbEOGFW933PVEW4q7d2R47rRJfQQMicF6MWU7GPqWYIHYKfhaU0mXDLql9yK6bDKe
3z9lUMx9fCgmQeVO+iof1m087jJSxNihyKLCs5QrGN3KA/W+zkt85g+IwhicEMzGJQXKxRkIMpqH
N90U1ueQyD6qjZr/DqcFnfcH394gs3mf1wuOPlxoK/5YsEL5GTQhUZrWtEO6U/yY54V5n3mE9Kwr
yy7qVewaQbmv+4FgQJ85E5KnJtcYsvJu3HShPRNs64335kixSvnefHK405y1WaMW5T6tkBXiOmiu
uqBf140bMHKwjXZYKRs/al9WMTB9qfwbpsPMLMMpfOZiegnWF9+6p6/TwXyXqvlEtIWKdgRza1qL
obPPxqDczWiq1+YQu0B4O/U1MxzLWaHOCZ+LsNAPgWdQwdmSG9uWo+TLcAKuEGoYfDsKUQcwgAuz
tRtlQTJtWBF7yCkb5sOS6XgYqbHo12bkDFgVMeFbESGbWtkqF8cYkMiRxFHOL8iD6Fn6dLq9HucT
ByzHywiRbUu2JR4uo4M2YOOJDFelFA3N3tTZ10WQJGvJG+Ousprqvhhqus9DvpRJfp7YT+S9+jtj
lNN37LnOKZJMBbIhsL4Vrj8/BzGb7h1VWHYFwzv97rR6fOxddzouCvUtsyZ2z6nxBGpSPie2UJuq
zTsmQyGE/skCs0zZXRAoWY38P13tzAAWUhWb83emcTlPwFioc+CO/oJe9CdBckjkfJryTJ07JmoA
hYG3HvtZ5tcl04KNOzLxX0W6szHeRbNPxl17IynHv7tumIjtjIqsWOmpJWOh08FNMRr0ZgwbMolr
oZbIg0FZVwXc1PZuFk5yHMxw3w2e3s2Dg2mpzZvrsUePmBt9dFsNktVk8ldVajT9vVVVrw44Efyp
oZrpL/U0/Zu8Mu2nqHHq5zEp5ANDsdvEHdr7aUFLjrGy7iO4fg+VD0296AlqubT4OA6pXzRbQNbm
a2yP+iyi4HGObe+lVwydau3Wcu+OVY310GrgVw04BreMyw66AQ7RN/atUkskWNkk7rYwE5OcLAJx
pwgmxJ1KlhGL7ZvbIpM0PTNHavCZ8Iy2xWhijUMYM75FjS6LtSV6N6OHgTL3gIoE0bFhiWI7OG29
DphxPdrMlT+ldmgqXoWOeenBNkDeM5rj4Dnc1URUvNEJbc5j0fc3nW2+jTJorxs1Tx1Ibt14a4Zh
3ZXy5mwziNB+QJwhzpPOrLvc8rofg9DybWJX137WHVm/dylh7SBvgfAcY8yACAjlK/mx0V2SWNEm
93LUG4Glr9ibO+tCUdL4njz1yjEuUnbelq1pvPSByu9FN+qrdk4zZk2TfQcIe/gUpB59bDbAtyFo
nAtzhtiHeJWULV09H+U5KYXX5CnY1SbpTeNO5LVL/Fg/bjldPmNUT58WocsbkiOxduvmKeob85Sb
8pmtKxpGNhUblZmfLDs+ZrC1rozJFa/jGIOnAIEh1xZiyC35rskZHlN8cYK6v+59eQh6OhSgurBn
mBbAAr9utLgak07wDQNrbTP6KDZxY/cdLz+DgBduFTNNrko0Twe7sF6wtfuruPDKlbRrsa5G9sKe
LoqN1TBBVnYjton2Qt4UYTRvYkGiXuXxCt8tll5oH3bj3AVs/UlXkN1DLQXtRllBkKCz0K3zWYP+
7obrWrJZbvr4yTNb67wMsOFXa3actCp3YVeWD2kGdg23YFbsbFQHG82sTW0bUxurvvNcxnwqSW5L
LaHiO+b0aEo5nCflLKJ1fnBguHnNCjTAuVep2nRleOd08GCaqk/4T1s0Z6ecW/DwZTGsp0qNKOeX
PkQy1tapF1nP1NgzNzLyjkG34NKBTj0RThMhwSv7Z0YIrxkTiTVREEgBYz3ET7Cs2pWvFnl/q6A1
NaU+aDMmLSRMgh3RJFyHTmYjkRWMtmY6UL0H+R5oCE9CiQ+qIZJtJ+DRQudJQsJI/LLYN6MInpuQ
Lz40Wj5EWe3vaPRF2ZbX4XgICEXatAVT/yACiKUl2dV49hV0lAQgyhSrM60U4RDGNPVnLUW9G22b
8Tw/o69BmiTB2me9+QYnzfsRFMm4TXPPnQ9J2BVfGyZLh1CG0bZYSisyEYHHDBNzJmFhdy7KzNum
RttsM0g8CCWC/npsLHvDrKVbw5phkIXE/wwbdriZSXJynni/5dddVTgI/MpQl7dZl9IIyt36vi91
7N0XIUkZa9cIaS91wCSCahRfcss2410IFogHyKQWzD0rBwCnH+Kh0Fd0mNR26uFarTMMqVCDhvHa
LpqGlXdy4le/HFA5z05GjSXCT3Fv1fczou1mVcbJDvPPdOUq171pgf6gAmlbA6+025+cuujOGob0
PqhSBnBupx6TsTy1Y3tugllv2tBuLyU5P18ZIpgkxLXyhAo22ss4eKZQo6GtJJ06Ke4yRirFCitr
nu8yZOvFibEr4pk0nGcilYVsMjJsqzojz9ybkUKazRedlwU566FdDAyhSuZzVc8JcaL5Ku+lUX6d
Bq1ujXCaL0bCfGgbN6nbfwm65rHppwq7jEx7Edl7FCn4diLt7dvE8e9rq3hpSBRJzlXR+tEVqrjP
3Rg219qlkEsD7oUjwPKI65xN+TaA6+PfhzbC7ZeUaItQIjJANXNbN6ReIM1YyYUM1Ywv85KJIRhp
xf5tbDftLW8/kgN5g46HP+3kb/8QO/1b1Ze3dUoM5X/++we5pli0ZIvWfcF2WqgbP0jX4nDsJzum
rvWlFMfRYSfqpon9OE8kdYFJ/B1t3f0g8OKAguA1l7m4b6Id/KgexMk/4SBRNXIHGV4RoN18UizM
n3Pinhc/dP81KUwhbuIh6J2jlNDxJ0hERlJeZ25Gess7aNprKyEvpRxILjOY9J6kbYXPA4PxLSZn
CkAxVxFlW+mpbyYhGyEbejJIH2xviTNrNfyKtEfK3zVAymp3GLsHhUZK7eYOCJhiekyX7G1mP5GT
raPZsMUR0VOpEy/xKqwYj6UPoJCgc/qoyVz9COYBY3cYU9F3reLfe4D5PpnkA+krOle+saydJhss
y4juZoO+7S7M2Djscf7Jw8Q/lFjKoCvtJQk0equsgMysZS/8nsvz64v+QTTLNUAoK+jUBOgIac58
uOg5FXLkKbOG7r7sl0n5YG/QWySM/cY+uvyiPwns/jjQYs4J6H049se7K0ADb7QFByoSmDo0J8py
21Ut14dnb0kwWtLyYgz3cKx4y3769df8+egE/wFXRqSKxOEn/2hjTIBVJ11DYG/sR28cGXDC+qZ+
BEBUa4Ojeh1al7Uxlmzbfn1w64PNhu8eIAE30Z9bPlT6j9+dNqkR1UwpDgpCXLMi/qoX137ekoeW
Ecu6QY3Plx8Yap67eMGDm5JWL+LA2C8OsdDW4/sH+v/25m/am+hIFyvn/97ePH+u1Gf15+bmP37k
H83NEEN8gMYAVNhipmMh+Wdz01rCzl2uMrcYtzi21382N5fIhP+GpywJ5iaIZFpiC3MfCti/0My0
xIc1e7mXAVQjWKXjihD7o6GXFmNQZLH2zqXdLOUoNnHkQ9Y4ESHSK/KIKJ9Q72JcYkxYRzd0Jy2S
mFzTkOFmJsXIeijq1jTKk0KkKfXWmClookMQ9Qwqemdwl4QWSBc3ecIbw9+xzpb0Gjs2oImmOeaP
Yi0UOq94R5Ou9K4G0aqveTzedSL1o7VlG/5aJJ6/K0QYTjusnJvGnqcHI5ihi8xdkmLCDC3anVBz
7Yy2hiUXUZ+2CtROypTGygeUog5FCzzvNmMr8CDbKPykitlhH61aNOOUqllzRutDSi9xdK8Gbe6a
Q5CCttVhYad7yi78oc7EFtmp0+CSQ1v51Pr+uDHCenxLB5HdMoPyd3VPThHWU8YVxL7ojvxe9ONE
3BrNPp/L4pj1RfLmKbd9tZVj1+QLpeHXOgy+Fnq6YSKLVJJW2HTkj+h66D0HVU9qHujTWtsuc8K1
dsxysZaG7R1J18m4psWEoWmMiQESjR+WqxpDFuOPCHcT3YThQPBHiQe3V886KaMjrsZxP8/+dBeS
tnMyQlo5CAXZ168iSOWAlbP0G/eDe5flw0Bcb20bl6Ssgr12PfIxa21djYi4H5PZT/czYtzbehb+
etBxQq0RdPa1cAf7xagLJcCr286lFvF/sXdmy3Eb6dZ9lf8F4MjEjNuaq0gWySJFirxBkKKEeUgM
ieHpzwIt/8ctx3G37zs6wu2OFlmlKiCRub+19+43QZ3TuQyptbSLzld550x6w26o31KV2MOiUZMz
GCH1pWTeEC+VjtVy+p1fDfqQdgTRG3uVqPlox+b8TRSmd4xZEB9mCgLPvaGq64oZXEFgJHa6sZ9d
LeVu1Ai4brb647+7jGlPfGM4Zo0HLxGFt8Sj6gCI6JTW5MCW1OS1Q44DD+Kahh2zMS4kmvkUI2mU
jWHe0s4txbf/rqj/Sa8vhwTxtwOj/feKidG/zIt+/sz/hpYs2U8BrnSTncFna+8foSXOby4BAsyC
Pfcz4IKn+h/zIvaSfyyp4jccstR1MFPysJCa/2RFJRnw133KkpDFLxN4DrA7uMum9U9e4sCsSj+s
aI+x/OhlyFjkupbBNa6yr/TGPzTaOJQAIV/9Qn6lYXoJAWdVgyVGlPK3YGDm0Rq4/dsFOS4lvejB
giE3k6AxfUGTOx00P6aQ2IwqBlyuFoTZWGBmPIjiYpgICPOCOls5IHbtJ8kuNMolXdi7kHbl3w1z
QoRSR48sAaH8tn5hDJXatoZpbqYFr4aCXitd3JKbiiawINhslo9IrfO9Q+0OIZqDt5bT0D+SEZit
owXjjheg24bsHhbEu+2iZ9dmlTIX/Jszc3zTLUh4usDhYsHEpdtC5y7oOOzX1oYl72HK+wUunxSY
eQFvjhCMhohZYoP4Ob4nC5aeLYC6taDqNKTBlCz4erOA7MOCtA82WG0O5d4tuLu9gO8cnRkoef2b
qYHi4bpPoAXFjjnVAJ8I1Dx3ZbRlDrYaFqy+gK/v4OznyrgNF/CehWU81BYQ9+hV8hIsgH63oPoY
uXdFMNwTYFVcMmzS10nuN/0qxQLJTr/Pb5oaaXFr+pqxNCLq1x7E8B5nJ/Jva3RryyrhpupINw/K
MsIH05bELmYTEIRROJ/hu4oxdZ2cKb0evoYB83V2psHTWFhZuaqqnkd1hXgc66DYtgPassJgeu8t
xQkc59kH5qZ2Dp3l1y8e9XsuBIzOn8qsdK4c5Iy9QGA62+UnIkItZ7aLRN1cQxf7mzqxEOaSwOwl
gCLAKUoTGbntEuo+V6I8LZVErJx+6alVkmfkY1KUl5wFKPjVxIZjZ6IAv3omw5LNZxY2JiPmUQwG
HnwqoFHekupBcsA6Wy6zkc92Ivio9LWueQatAunBODDhkbuCTOxtJ6zxjlTVhBFkFpV0KducbJKW
72+gtcFCWuYoT17I5nNCp2jnfJrgot+bngmPYVEiR/9ix6faVPyZWC/dz4Qn4mRghkT0KmWyKPqn
seNXYrKd+o0oIzqqIy5Npw+n7OCQJr6kQ0TThax53mNRCbA7l/kcPUxutrYmvofaz/mFhJrRHJc3
RFFPmrDYsSvql5j7b5/Q5LFkZoBIhmNC1r8Xd/kTgZzEtyrIUh5wZGD3Vv2dEdF4F/ZVffv5zlLi
XPyd7iW/Pqes4D6alyh+pyFs3wpj/94euQZtzr4/8oXsKZ2yf2xTe1hX7oSNLln+4p9kI6a/7os3
FvzBPEzNo8MIu92Q6zJtRdCSLzHY6evnlUZwHa82RwGJ63ICcEtGYtiZkFe3Q02SOzn9KVA8RO4T
fI/5PJSL8aUrbO++cegaqJaCY6a9WJgbMDYz6j2bMgW+1L6nI8FgNMBUJBzqHVPA7uMzxLYUlXvL
1ne6YvBhXkKR+pdBGcU25orMCCl2wtfAXKJmnYJESUwZ/CJNZHnjoa/s8ig2Hj4jV2cXTEpF4Hto
RrS0Lt9WMRTVQxItI7k2C8tuLZlKr6uUT24i5/ZaqtYOVzT8xRo3Br++H3BCevnIVU/PIEKM/+LD
iK9NVdGrlc7ntozPWk13vdE+0q9AtbVTvZYJCHThTuvAvzG7HhA0uou1YCLXxYcibX44Q3AVoGWt
OhCq0vQuY2uBm8XUEs5PUdO6G0eMjIUQTXEbONuMLGKzntDvzbK6dDzHCLG2COKRiXQv4DJfWplS
EKxZwzPpRxvXq6219IjLSIrpnIzBZhjTTRtWJ6v0wjvZGeOtHM1051cR9p7Bd+O9W2XLzE/b24nG
7pWHSH/QmoC8jpB8yuEa+VFGBIcr87tCQb5S7L2v0rlvt6VZyCO5LN8a2R0gH+5hKMj91r0FyBSF
L0Zkfm0N/9vUk000l22xy3VO1+kEPGAU1rSBtIQ7NBtTr2vXpRHFsu012YvzR6EpKIQyWC1G1V3d
EVuf9vUp8LI9wQF0VDozX3DistVTCOzpMGWEgMkv7sTwHcrpmI1TcRS+aR0GFuGN8PsaQoOBgwh6
+MW53hlV9aIQdVZjWYlrmiq9U8OFj90FudnR4YuQZIkbTBN6Of2g1vNSJ773nd5KmPlBiVcPynsj
s+yxIwHjbZoMi5EBtVuJpfy16JF+Q5wRJzsIbbXSiIs0oWlO5ilTSPAGYa+pzSD070EV7QeDy3Ar
Sn86474bSP1iX98xpjcFpaNz029nbZbXlXTP7Eazey6rZivcUN5Z82RvB0ok2GRTh3rIyqzecLZi
YirN+ntLIRhdG+ZxKqoM3KB+60nE3Ci/DTap1F9FOJOMWfG0R0F1SA7pv5Hl9YI6uReTCr/QmkEY
k5VpUAMg38rGitjYzpeQuJy1y20IildGX5kno3m11qbD33o9+BCUbBL8D9tz9MUDyvuSERXIHoLo
UCxo7nQaunAAYafkdsT6nH5JlwIQu7WL7y2hjt8BrPMT9b4Ix1EbbiptwLC69rDLWn42KqwthaXi
7CHD39Ohhy89VuysrMVKXDf+udb18FqKKX8dTGmdkfwr+kWLacX0c6Yqm+PcqugS7AZxSblfiEEr
WFErE11rvDXy1JqhZNTGrPpsBvQK+5EqBLdEBEwzGreupFU8syDs+RIrsQ6byEA4TPtrD2aFK6YM
o1WlnHoREgfwlbGvzhWdWCcbY+g2VE6xDVsVPgWEe1wAkplsza0qS5wVpXHuIt85slPI9lJUapuM
jGdJnKyY+jTjj7IwzVtZRN2XoUmGQx176tkl3Z8EKDp24QiBIb2h3Rh2nawx6B+zgl0YtgPjJCoW
MAYD6lARbLCumy7FHDSFGKWkz9vK8c3a+bvX5v6qbcLhNoOnuGnCstnlFpNMZTIu6IcsXLNnuBmx
cZJ4smdqDTjpzy9p01TkZJcax+OgGmI+M7lK4jbfFbYgBb7J7P1czTdjEk/7Zun3M3tSOJ281Xdz
xh4v01XLk0v7t2gR+YNKWyYr5Hi+WF1wlmXdfidqnA2IO3W7gPrBXZ+HNQXxivFWk0D7NDO3OIDN
Ynq58AStbqmSwWNCPPOqFYPzZNXjfhzGaNNa88ME7nUeE1MShemneyI19i5M4jqXzbbSVfSd5uK9
1fHI06pilpqk/XYU43hKtGwpgmnD46DC6yRSFzt0mC6GfnqcZne8ClNwHrwwRpzJLT6AS5Cxusor
rzfcZAmGi+l92GfFkEb3lpsqIj578pXxgA1QAKvAMCIeCZES4JGBiCa4BLTi8QiGQ/eHw1YlW6dR
kTnbqU0pHPZrEy4cTiXNVzy3ySwv3AS7fBvpePoWZ6Swcii3qO+ib6N4Br68N0Sgd0VJcn/EUPSB
GqF5K6e5PUepU5GR69g3kKhf1Wwl27l2L0kAfZPOHUmw2Nw2eeCkt8qrnfd2rKZ1apbzu2xldzMU
nrFLpP7eRBPuLcfUNz6CwoZQYftkj5x+YD3bO8hg8xpCV10itipbM4TRnwzvlZl6uFJFn74NXTRh
n2kYmpVheCqMxF1FqRDrDIF8rXUyQkT5MY/KOgdVspM9YupjYHTjysnsq9liow1H+uGZRNDaqmjO
DKvWeWUzITBbTBxJcJqi2S1p0l02/RHM7buALv/wMie9HoayZR/f2gfLTXCDpsGDIIVNrBR7GWPp
P8qO8xz6LZsEe7q2sWve13kxP+eNyG/auPjGATQqtpWpeqjXboF6y5Aw+TL+poqCp76hig9Pu8ua
RUnRri8TvWukaF7YvrhbE57uAqc1r9kDXSywoVsrnaN2BWdjnYQdqI03gQqMfTk8uf3QX6naKq/n
XPuIY1OX32al8iAUfSt+L1Ur4C3ShOIWGfMoENQ+fPqhGXQNYB4ffiRYOGBj5AVziv/cNV79MltF
+T7HuPbwc1g2fSmlF5TrXgzlY7n4P53FCRountCWhXHry/mYLH7RenGO0hmUnZMIN6lcfKWuWiym
DonguJDSoWL4X3EJRWxK0k87ark4U6G8F5cqAcOfplV2z4uHdfzd0Wq1uFvBivUPWlSKg7d4X5vF
BTtih80WX2y7OGSxYVxnTU+dRtT4F7cQ+i5iUHShPBnrw+KynRe/rbM4b5vFg5sublze2BcOfuHG
C+JqZ6R4dvNP++5/VZ//RPWBQHP/Vkc/fx/+3wvPgD8r6T9/6A9MWP7mO5LUH9+WKC6+h87yU/bx
gt88VwARm0D9QMEuEs1P2cd2fhNIPGC7CNmW73rAxT9lIFv8hoBsOcwvEec/E27/gbL+62jSdxjq
kWpiOYL+iL/o6lK7SgsRVUesRwCCWRlxy7KbO885o6M/jRj+g7nr8lpk1pBLS8keWWy/jOB0K4xZ
+bI8enhFz7Oe5DntreBp4hO4VuqfhiHZvB6NDpwwhUdI519qMRrDMj2MA7xeQefVahA1gGU6UkLU
jRh5AUpda2uNvnwc3MT8ffT0f+Y8/pIksrw42TygymSjAMj8Om9UhuAZ0zblcW667qPIyYZY5VJz
fFtKxkdCvp5CU/y7/KdfxiSfr8qnZdku0cM+fMS/inrYG9Jm8L3iSNfJYgqMuw9dLiW7QcIZPRLT
P35BwuxQRrmIkAOsv6THpcIYa7NtgkPM5O/K82sSCpaJdOFbxquF+Pdv5pvyL58rMykmStRXMGOl
mBZR9s+y5USW2xyFoz6QVqlwjrhha97Os4KJ9Qd7oYz7RJ592lqP3pTJi9JO+VSCcwxrqrFnOq68
1rt0k2myKmunh46o4xZMMBi/Tqb/b64CHHO/yKzc8FKiiHEJioCb/Zf3Wxb0q6dF1x8csgXtR4MO
pvCqjXLIbagz8u5VJIeTJFUGXIPyZ/nIPThdjIB5rSli14V5x6BaTLXzFllk1q2wT3EttZgyr4rZ
l2wGY0qTNBpZsS0/6QBT8DmozOEB1pst/KbRJEwsJnP2dzV2nbPReEaz7T1B9YcxoXzwILwLE6rJ
VnPDFvTd1xZNaG4zjxqEQ5npVWM54x27XFSyhNKl4JAKbZAuRuXbRTVmwyUXpgqK12snKkXwWMVS
fucqHbFJSppVxpvO5sh+P5bTcF2KmCG866TYEogyM1efC0EzFdyno27HO2PosNxlijPLGKr6pU9N
Hu2NsI6uzkCnR63rF7+w9J2gH6lYB2pm+RpFGrAzapw3v0FEISaAsfsnvA0RPl4MZchHp1tMv3Pi
vFHPYpbHcgrGF5eIg37t2hIu+bOwvbcb/qZ1ZlNDmLe8YEBgxpOJV7TZ9P5Ay1vP5wgBwefW2PKx
D/jSZl8FTzyqnTfXoEHxsxNcWYNj7egHg7mGxEJ8/uz6+/1ajdMICjmmw6C/SRaDG2wseh0MCXD8
pMneagcNA240oF5ICWFSHDPFHqxbuQSj9dsO69BzrCkn92vW002X9fR4kvbGdaJL136rIKde4qjm
5l86vQMqOZ/Y8YFIY53jyiBW2/gd+m6YTqGw1xUpuP20+LLdBRnn7sY3PaaA+lGV4S7QfcOXFMTS
Ovbx4p4c6uXvOlAthYkMsOPz87fHzllbvc/xD4yLqEgjbhGXA3H+/DNdGJbrYhIp68Yckxyj6/sY
vG8zREGw6z9pEkh5f+N2GVslwmrC8Eq2mmox3Q49GQejH1yYGMvG4iBkiX7V5b5Iz51y29pZ+UUG
4FW7RHaxhazGUO/yFF0itAx+oMwTKY6D7DxqxqLCoPy8bTGl7ifRp8OG7d0UXuq6xBgTV46Dsy/u
u/DanIPphZjk4UMTs6PX8JVzcjdMhjk8t3z88b4tS71vzRjkmNQXDPa+NkikyLDNOshDdtQ+1kig
2zHBPhuWjIkDi5ilWI1gSMre4U+xzg5MJkeF4RAG0wgnUY2PbtHjcK3DhK/dmM42cQ/r1ovl11aY
alPHk7vqplHeGiTrXoZYtTi1Q+28dnYW2Fxf7UCgcZCMV3S+Y0tHSsMZKExkPVHNZ4YB0Yciyezs
Fol3AmV0z7UoA/iY5ZQgy6HgCx+XqqKZyp79Esf1ESQxg4nWoAB0w8UdnGyyiQi0t3UbrKTnhU8A
ul25kYb9pYsjBOBGvZXSS89pDl5wUCQ/af7g4kVphOaSmjLy0GLJ/0Ca7McLjzmuZTNkj3sAYeIp
Daa2nxbjgyO74KmY4p7ejcgvqHLQerzMC6U+xuwt8D7XL3RaU96ms+FtrBBBUsdlwazM7JFYzfQ5
bZZe+2CCcAoFUnpCruHRrwMSIIOAXgoeo9Wji+aBzlFugLHsaCct8q9OTj6L4Hlua/laNIYxHyHX
ev9oFc1sDWtZt8yFG6KhTq5pWe9zpB13S0DWKQ/q8How6uiuAWk9Rhz8CPpQT3nXvE3wi6z+iXxq
i4C6xp7PaQxS1nlCe5JTUNXma2+AN1ALM4ibOhi8B/CbzCNFaDhSKmfoDcMxuea+9AC6q8anY9Qs
GS+TZrKbbfOpiP16U40tkoUuYtKSJlMxwMmZgK8KKyzPpWfY7zkwbb+reWI1X6jzNMP3wB8SknlV
HVa72SdQcWVGWU+6cZsZ10We9Hx0BYrG3DnRV0aD1QGjq0+GiSVQS1EnPVk32ZpsnfalGn32InXn
+NfWQBVpJjVfqwrIXkgYwbNY2HnUnBu/nY6TlfpnY8Qt0RQVJY5GvnBtOYZNJ1wcHJk7c9EoMiku
bSR8rELGcin1BI6grC3jGnMJ4lMEgberT9eFNnk3bkcPA7XAOFfynJgSvEMp78kjCWiV1MSUkk9f
cgmOCxbo5nVSbCIzY71vNMxarFkHtRO17Z65g38NKYDAQOE84U48TIq15WESAcjnXnKQg/afPawV
zob9J/01TykL/ucS6MVESGw9SmS59ClEjO/o4fEZGEHtXg99L/ZYu3HgNJ3RfpQWbWgrSUYxncuz
ct68nOdjS6QTnZtQlLQzovbE9OQ6HjuGiXPN/ve3JUsHY46KSTw4hYbB48vD2X6lcloz9dSPd51m
71v4jEvknJfTyRzMhQHuJzi+G5oP8XOJJqheBlPV8a2JzMyXVYCUrgeNW2pTNsnkXWysNS1Pi0W1
LBbzlsIjPvhCex4edNs99VmbqnWinOkhNCrnxY0lC+vUGKgWdTOC5eaIUzwyZPQ4eDPyTCVy99qe
LR81nYE4/I4hTnUfGz+6hllJ3A9YnXnP7HKIQguezHHgsvDzhie5Cjr5aDVLFVy0tOPtGs/G8BWN
yfKJMhJhNOUQpbXuoUd4YDYsVQ+00PjYpyz7jfrQpXS45Ws0pOLU0JmzoIDRoZc12eK+CcXS9G47
6KYTW8sH1yIB4wEvR07yJeEOUexf8oysRh5VdTBbNY9GNSVLEpwRyS+pz26Zms+hc6AjnfECL+hs
E2FTKhHmRQIkQ0TB4DIiL4yAPYhnxmD+ROOdraKjT8iIibWKJ7XB/RCccvJrbvj61aUiJ+aY6dj4
ik0Qt39H2qRuYx49k18c8HhIvDxoXXk/YN3wiRIrMTivhBdc0T4arlVh3ZN5lWysJup3UkRy08wS
pH8c1bHSeO+iLpeX0maJQfHqGtghkGqZsSPp3CL7YSS2s8OeFx4YfRekASoIfu7AgYb68kfZEPyS
T7fBSHI51zUbg16J26Crxa1TANloAUXaTsVh7B21ZW8cPoxuP+1SHqKbVEGYjzapPqKzb0YGCPd8
2zyXyzE/8eSDqCkyKCrD6tY+tSdRkN/0mY1lkY/qVkx19KVmWvDSVKZ1rnSRVmsrEmwgR1pygxxr
vb6zCnlh51duqa4WPxxilE6Wpe0E6d0MUsiq0hvwyxyMdP7uKJcvxO65hXcEVw7xBq83fjJ2BLpm
gh8yWZl6vawgpHuQAkFf7t7r0uqKRBqDbJxJ1TdtlnORFosdFu8JV+RM03eIzShHcJyyISW1lm33
5u+P4sup48+QKhisx4GDQkZTIkH8itMxmUkDnnj1oXY+N/16ZAjVhFyJf/86fzn98EIkc6NlcOzH
OvxLtGUQxl2fVl19yEkZYkjpefJR4QrOV8CeGA3t5ejyuRz+/ev+isHysmSgApIszDJlAL+cujiS
51ZaEQiDuOy+dQaT96IdIakHL2b9qopyutDazlr8uzHy71/9V7RmefXA5FTMDc6b+LX7EHkb9US6
1WFwmAyvMIaZj/6y6qZey2r/E32tG5yEi92SQh8W98+38F/y9d+Rr2jtXAz/N/l6zPOE2sl/ZV9/
/6E/QC0Pgc0zKSlCY1skO37fT8UukL+hk7n+EpYfmA66zv8qdib/FxoIMp8LXS5sboU/wC1YWBdz
JBGvLqHNwv1H5BYa1q83L809oN0CZAzljhzXf5VAEjex01y28WlUwCecvyo2wMyAr2rlGSw5o7Q3
NiXmD3WmiCBbwn8ZfmkedBvIkkodGlmQeu9XuXuCrrRx6Ohqpg5aiPGegXZh7yWGSOM+C9LmGdcB
FnZiqSJ6lLH2Iqubrb6Gg/DVKg+d3lz1hZhhl8g/vg5SWu1X7dCwLZYzrqUypX12zj2r2eqlzgjb
ZUWKZBvWDDh8Q70H6eR9++QYOmy822gWiAhxnXcttc2L71JGg21eB2YXb9qgcG8G+H4O9T0lcqaB
SYaUczqstcDe6srkgT7m6R6PdHduIrO4LFBOufXGyiDpyR8jZ1U6IvJXblpfcqcGYYkGxdanmg4R
nSsns26SKxmDkCYQlZz/kmrnlKArZhuzpeloaJab0SG8yO488xn3lMn4vMkfpElALT7Q10hP9a0D
nbthGmDd9WbaHHU12ZtYmnexO7cbwhm9rTExGxprI7+zPCM/W+VwcQQ2DCfHSb2qRy/+RvBWvbfp
m1oz+MiuZFGQtOWO6qIby+Njj5Popu1b+zzEJS2MXT/312LYKrOqzmHdFD9S7QY7TW/LrnUomIga
r72YbvDNCRnqSEId1q4RU0LY8g/Sh54DwLhV4xX4HnPnhB+aGR7RkA9p01oXC4nsymK3c5e0gtzB
LH5P6XV6cyp32MzReMW5bto4xCJxSg1txta1ca+rsXjIm6xYl1nenk32seuOT2QdBtl9k6cdW/wM
vpU79gvDkJB5Op3XE+GgGyxt5lY6vFODGIaN0GH0OPseoTZsXNjjpThU+bVpClZQ1/LKipU4cYL/
yPnztzgP8ntPl+xQwf6Ci8de+d6HqUXhCtOQMcs8n+1lq5DW2thnJI2BI/blRZhc0Z7bd9dmZuMV
zc1V3Vj2TnLZ31Q0j73oBjwAz3MXn+yUqkPiLnMFcaDtjcqyYd+nYbQzVH+FSNue0PButG45azG2
I1+RLdraT0fjQKWjJoiCa5A8VxIx+xDWzp27J8PId4zxL4R5i13IcU6z0WXSDizQp3ex1dwakFgS
KWcT5PaFJIp8W/r1txb2+8iu5mlaShmYF74WXpPvyLHpJuoQzSvHHojFWb6p6cOIOLNVkq6HuRfP
do//TU9BeKgHbdwMOEy2WEujTSrsFxbD9tbEkrgz2gbnXhY5xwn+6Ml2jYFIXK/dFCEtFejt3FbG
yaPUaEV80wvpcwqVsWj2OaweeVWnuUuuuwI3surgJ0HJyrBF78IWysy0oN8oLbbDUCc7Nj7j2saL
faHUNL9nlx4dqWjAvDln1hFteLwvxnzel3DSm7qum/2cje6N3egT0QzDsZnYS28G2Q73g9099XKi
WVlNznmwZVxyg1UkiQgQHcPOg42SjZneTeFgFXiZnXPR+O+VYkvuunPwmELS7OhIy0iWTMK7yfKT
W8bBb6Vd20dHgdvMiXxza+3gnm1E99o2/JVJG603TZ2bV1FeFjv6IbikRZTTbonHOZ/i/G5i2aWA
lPWORkQyzLxyep37AGY+ZH1mJN5dJ9M4vaIDIaIWiVAPqoErEi65msRF3Fbwc6QrB3lf30XsNY5W
PcTUTJi2V3PA0YJsrLQ61plmu45ZjkapugwuXer9qCsxrCOT7KYh9nOyCX0JpYC/wV8hmxVVuLaT
oh+jdYVHGxohcY2dnEl79c2u2E1IVtziJSHWI45WLGHSPky67E4F0i4nXAqDvmVGWk2rGEOs2CLL
mO5t1qBtrdiY+fTP++l8PSJU3o88sB+sJuQWyTAsBccGbvVrK5PmFM/FhLsMVPe94+pP1rJXUbzG
UObZnI9q76IIocY0ygj6VOFMOqkppEE1SMvogB/9OCVWdBvnff5AXqiFqVGTmh1nIRduMA/xS+3b
7VabdnGQSRS/sbETZBj4DHvBhTv7OkLKIfAKuwJ2rYHmM1373B+W1noFA8z4nKX9B/Xrgu5D2xxu
Ot2ybx9NJTYeaVTNaoYBAZJwQIbZ9M79syBI7k01InnhmQwhStTTDWRHcYtiF/wQY9wTpkxkzMUg
K+vZIAPkXAjv6Ek3/14UlvvhlIGTwKhYqieAUEMBkIt9dCp9LFht160vzWkz5Y1frIKQT5HmmNh/
6vXkXKOh5B9GKlLYhN4kXp4m8OE+VLb7xHMk2NbjDKAyTSaypefV2FoyGUfHJhnHb1mSBDaLEREi
xKPrpd+D+TwqnHGXpKiuKxMJ7IXo5exs5XUUcRV3mC3MoJhBw1X2YXcquzBlf8A3P1Drjl3xmHF0
hEiLuVnrilraWVnkfbVDS4qGSRI3QQ/Y/29qZK8XB7fP99CP1atvkw+YIPA0qzAoInrK1GScGpnq
O9LaSf1iUGJ8s8XU3k7k/NG3QpLnAYC9xvRpDPVrEI0lcUUYho617CwI6yRVE/VkRfqs/MS2V35l
dZfUBo8m8tBS4Fh1fuSeIxmMqJV6Wk/2qJaS+mBreY14CYMutLdlIrJxI7Xh7PvcTi5hUIs9EWze
uux7CpwJ5YHZseLUXzlSIxdlpnc9DZ06ybhzN25ti82k+xbciwuOmAaSkcA4t0pAfBGtS8NxTGrx
ivKFe2wy3QbrcXBNZy7ggAfTsBm9tD62nt2UzC3K5iVr0s5bATS0ck1lSPU1m+CjmRvQek6MrZq/
u2ygbkIx1BvLdN/tKA6+eHFZvFVRW+2sGP5xwxIfFqsJl6mxJrCeFdGhSveYMHi9CTDUvGo0JqCu
GgTVjByGbJM1We/e0MRXXSitpwAeiQSXwhpJM2o4FpOuVB3wiPKv2dxn/oFkxuniZyGy+mjG8k0H
muzJ0qlfI4TleycAMlunoyle+pkN5DYSQ8+1JNrF1OzJj0CZiqSFwo2ME4hG+BUuo/wCcOe2O6uM
x6u+7ae9Tg2DIE68VNh7rOyYRtmdmPvkqyq9c4T+UMUF9cO+sYUHjNfl1AX3dsfQAhw42kQBJhwy
VGrzlgRDY+XLyNsrQBuinxptv9OFZ9L8UtXRUizv0dhUDCAbksiWaS3bRBDPGUXnFjEJ/HHG35Tm
ej/bTreZsVTveiH6a1y/W7cnVCROzZ5mht71qDrAp4WOg7KZuQizEYFc7xi/wp2uBHwK3+a8kHF2
fxObI8kVbLNAOUMHBoYYLtLHo8xOP2roqXLVLP+ojThnabGGm4q6huccueExcURMpINjcD4I++um
RoDmAnf9q6wpgnWEcS0uhujkExHc7pBy+oOfBKRiUTyYfW2R6JpVHA4a2DpxQEPr2nS3Kpznq8yQ
9WlgunbN3zC/NpFTvoVz0mFu6LpDUSu9iwKrPKo8sjZmNj/X0zj0azyODTNP5d1Z2Oq/S5E0x/+e
kv8TroXeliUu7m9OyR9vcfVnqOXnT/w8Ikspf8PTzn8k4Rwu39z/PyJL6f2GeE72j/mTdvkDaQmo
X2YEjtr0Cbssx+o/kBaJWZTeE7yiLFeOJ6x/ZG1ajtp/VrfE8hsgZ+hzJp8SHOKX9tdMhqrnFnHP
BDQaxygsR3VVEvZLjLwvJ1KYV6NZZBYmChG4+cOcoIK9c+j+Hlez82B7meWsZWU9uq4cnzPPSK44
huOQzE0faa4u3eXJOrcBJxNY5u5CTm7EzRENg/oiShUaKyItcqu4yoKk3UOmp+kZBTfACqByf0cW
d3kswokmlLRnJZpktCGhwd7AzDg7KktMc5sG/T3K8SKwiiG8zsGgr9ve7PaTq9WJB9/wMcv81S46
iOWgFaSTVd5e4Lp+bYpMrGF2XRTG9s1qUsnflxBMZmUmC/I8xeNB1JW944syzuyAQ/K8Pb2LsfM2
4boJTJw+pOL3stA7h6Z2CP5kSImJiM1nPY1Li3W9oVazXrdJLC4THYqXrlflhmqm59xJgi8jz4fb
saTVvjaD53H03a0W0zq0dHFvp4Y62H1jnpuiaI49Jpu1SJPkutAVoyw3Tm4CI38LOoV1gOqfLWlh
2ZUqsmDPBEC/t5kXHieSCXZZKdkR5UmznVMf1gAKS619jiiHwEy+9//D3nktR250WfeFBgogYRK4
LZSvYtE3zQ2CagPvEh5PPwts6Z9uStP6NddfKBTqCDWJKpjEyXP2XrsTagOed3y2MUWi+4iZ7dSV
G9LkztxX9B9k0Mkk4tyUT3mcP9Uahy7qiqCfaOiJMNPsDYLmckMQpARRwbZ4JQeIbasMrb+xMmMv
v5czw40VQOLqsNyRj3XfOFvAzuBgKB3SPQ6dGuiblCRXl71cFxq60p0OzHsiL4dVbuWkRnhnUQfd
AGCbr4Mh0v1otupzZAq6ObE+2hwF7iB2bWtH54ccmFwz4/uBWu5s59V0Zv5rXi2m4q3DAnwzqFpt
i6YZP7eulRUrQ2eX26Va9c1jkN6t6KcYu1wmwxnpcbwH3NGc28DFqjY6Q/glgqPuA0Cx92Q2F/RW
ukqeDFw0bCFaqV+GYtJXjvJmpm0FUhO/dnqwPm7TfTLHCQc29Y4ArZPWaCB13pgijPptHwniHbQc
LldJK/3EIA2bSltZ0OhRKqutBy4prvlQsnaqYzNPzSP9iiJngiuib3Dgyo3rZt5eYpQ7K1v74sw2
yYhRBOhFC0Ko3EobxIoClrKqMqutTBjTYrRKV2zYT1WAmQ88XYTxxtZ/7x0DPBCelM8pr6jjPOZ9
5Dt95OwGhbgVe8jw7JWWeaOlgVzr0g22XUsAAm2MYTqVg2YxY8A/eXQdBArsf3ltT+QV3UjbKjdz
TbXiOMzD29EUhwYOMSMe29652dB9IvahBBFURFQIwTKw8ML4pFXww23UQrnvenwlp6TJuBKZ11Cq
DGwxVT/RpuoTZMPBtIkHd37sx3rE7Fsb28hmAhp5E5ektYKryC3UjePU9Hhc9RCnmnPnmd1eFeZ8
PaCE9ctRHuncxQOOSTEeqLMRrQ9OeUPulLYx2DePK7Rc033aZNVV3vTiQVBgvcY6ye7aQsHqBjUc
3CmOgkOhe/J+TGrhe0jhgTHpV+ipsYaUwy2cJ3WeEgA1LJ76paEK9rGvUVvlMYZtvfbWoTnoh7k2
vuAhRXhg1cWBHCxxyJvOWcVGk/sgx0W6XOSdIjB5HcTVgyarieglYbb3mAemrzktIH/W5LSfEoTi
cqoZPikDdxTKejaMsZ3uZDdW6xiA20oXcwvktBsfi0y3tnVVhL7j9s6VPhYahkUWIo/I0nUAu//F
LPVojyAm87UxI5vVaieNybbtvPASnPeINalNklpbjUME6c+xum8JI05UGnF519SOAcU/x1df62/h
nIeb2gCKJcq+37l9oym/ogJ7EXPYnlWe3TW4/Y4RuCLfVKo6QfNvb+YCdfswuvONbsTedROptKbb
F8wbK3TULrdwSAiEjOsGxty6k5H1NVwcS4McP2PiJ3OINTNbBekARwAy+jnS8PeAKhyeKPJiH7XE
fEfQt4ftrnReyBLk2TCditQflzwKlElXKGA0FqwQmL8dW69pRhHpyjq+GEFR7Ga9NN5QiVj4B2eY
ZCzpArnZ3u4hWZEsFdj3cWyM9D9m95B72d2sGwf0i/rKU4yqN6kOsY460vbWMu5vB9AgT9poEynY
5TS0nSK6SbJmKlZaHQ6f9NCpjx514TFkcEIrNw28PesmrPxWPzfM/+7mubtBmUJMQUZkDsEmqW9z
7z0kk8iXbB4Yew5CFnAMZ2cOowP6pLsUVyQeEFW69PICSLhF6MIAc7pt6LbZpjG73Nfd4AxwNt2V
RHggHGEfhyuVLOwqpxXUiWjb5cRzhEy9VgLjA2FDQX4ObcXyPQTDWxTr1U7rdec09438bMgs+10x
VL7YjbptzNy+J93rUZ+s5pJ6QY2g35S0Q7R553ay29RgyR6bPOqOhBq8JXPSHqKEKMQ6jZe4dbyf
Ha122spa2Bxj/AkYlkMLfURR3qAaSNfkD9k9/YBbkiTEC7kfwxmuPSU7lsX+CZmets/m3j7nVZwc
RWxvS5OpvS6IRXCsT6M2WCswitkmBiSF9KbPHpA3VruudetrSP2GPzYVuUl18NXF/OrjTIx2+LYQ
ieGoAciQzefIsoZTZafhc+/R+5MNA+JqJraBMcP8jYS1BwgOhS/SRN6nAR+hNVI8yITL0Fw0r5ix
F5sqMl6Dhr1VXlrk7lQl4whtIrJiPE+BYT1mdYrxl0n+xoLptmP35G3jMQ1eVTeNO2uM1Svqe6wZ
XufhmhH9QQ5Jt6U78joYrCuenhvbEAtGurghsi560zp622oiO17StzpC+ICnF2ansT3JEhgQ2z44
ZVZG4Gfk6oi1dJk9JgyS7ymq0lNRu7zqIQKzFx9SN7kuweruSEOvLsR1bHPHrHYQDxWdJRDvxWhr
uyix6BpGIjxLcs42NCi7fYgbAgcaiVE3GLXGA3IZ7IRuh/wjSWxc5cMroAlgYFLZ1W4YjPm6wt3s
p7YyjuWsiq3tDuNb5wZuRkeZuJ0gbRwb7UVYFysHX+/aLufxc4Ha5NUhahjWXPNGgyVY80G+5V1e
bxP8N+AuCk0dpkZ3/TxJtX0IJRPWYp3mbBmttLiqRoHPOLWczdDndeQjn/oStEqAyp8ZcuSMule2
h0YzTZNr6l6/jfVsS49w3upBxRt0CIzjzDqAf49qM6Ivt0e8p39DXG6vWuY9wPyw65YAWTbEASrA
m53aELV7Czw0NVcNFKRTEDSLpV0AaedSvxLBG+7FGAQbWXRQq7DXpljFu8bHi9usayiS9CdkIJ/r
CM3L1ujkEuim38qKFxJz/TAho6s1Po+VzK7JE2RB6EWGqzkV26BAPmPcu2NA/58cFzcqP8dd3uPq
z4vMyx/kGKWpdQxsN05PAEK98mGYes4amQajptF9KqiUV4kiqoyRVmbIHopiAnjUixF6TVFYrBEV
JC15y9P4tSJz6ssAgRy6aWM/8zPlq0YE1nYSfXXAIEfvEb35uNYbNz52PVzMuuJvl41Tvpg8eSY8
yC1HJKjRw5jTYX1CymVXMGSrsfiiAt24KuPRPTiQgHmC2cxdwA4+zBHT6ho39xcrq5pgNcu5OgW2
N2xwuKo7ldfmKnFyhWu6ym/1IYrWxABNmAujodtbGR1mVoNpTdUn1qVFCSOGJieJKU73jsqsDbon
cdKLhlANHUUPfQkS7rNoZL435Sb6Do6np1X5OMa99dSQnsB4JK4wXjaGJlaMQ1Jf58zdDQRQ+nHW
Ti8M4q/DxOW06rAL7zGHh+seLWPgMzTTr5CGCD9pm2atQNvBELBdpyNGoXKvXd7CwB3w7DK/YEy4
apA+Hcc8SR5CN2tfWkpP9kxNf5mKObzP7blB/8LJDvIo2WnokMKVLfLoogX9oMiSQFHtAO08TElT
3wdBrrfruOSvdhjGDymOgbs2pK8Z1kb9CTqP8WxUbv1clOGnIJf62RKERmBN1hkgCdAwKzS15HX3
+gmgTnVPqFdTrIOgKuQVGRbWLVjCNzkrTMvVDPZmpUU6+EjC/mIasCHSIh0u5XWaTdlTomPPdpMh
2LnCgzQ7dYbYsRVqHzEmIXolEg85sEXkYh5Waz5RsU1gUpbrURUz477WxqtaE4vUQr+hJx/Zw+8z
VR8VvwZeSZXjdFNLN0Uz5mXxnQqJEdLrGYc84U9i00Cv2QhJsiiEiPgQzXNyJlY5PuSmJy/EnLCB
HcEmO7r2e+aW82NEa9BeOfTFsQlPLBq6nU5PKUuF4M4fdH9OJHTDqcQ9S877rhV9dlcsdZI5c18p
kOkrhmckrr8Lnal8fVrcUPqSwCAViPhj9p9LIWvY6mybFNeEQi1hHzMcjqlGSsJtl+T1c9kObn5t
MK0yGewgSbmqmSDD4SkbEJld5GDjJAHHmb9oeJCHG8PD9exECOXiotempxYY+vgwDxpAg5XWsuFt
bzq9Yca76TopmOV4phqHE6dEuSQEhnUESqExSvzH/5WjuI0sbPIXZrC7QJP1Q5bl46cf2j9/490x
PihqALshOMCRhOVRp7vzMXS6gr6cZKYxXEKtsdeaJyJMfT1XJD9opLkG4avITRqs4mim9laz1NaO
jI0rg6uqmzdN2W74qjsPDm8KmvvXH+6Dien7ZwMuaFiOdDxgkj8LInKjr5GxieHCHPAiK2rFYB/3
l39/EEg5pE/jU9SBCf58EDtpRza9/XCJhb5a/nUY0xay3L4f5j/CnX8Q7mBAE7iV/veW5Kev6HyL
9sem5B8/8z9OO0uaOEqQmyFisM3/aUpK8zd6lYwj6FQ6PK4ocH522gnhColJyzIlN9efbUnxm2Sh
81wSO1wDUbr8N23JD5I7AbbJgH3GJ+QglrXQpH40LrlG381x6dp71yWEJo9IeEpCXpU/nJO/eU4/
PKaW6xg0ZRfbGUHZnInl//9AdQo6oBdmGQZ7iGsk1IAYd1eUJJA+WqwquQNjJptrVMAlkdr/4M1a
rtePfdf3g8NuYkTKaZOc7J8PjjEpG01Ur6AcPSA9UjW4SEaMaPkSjZgYonxjhlJ5AB9jc02LJ/46
am1RbBzlmOtMGWgCUGPvQJ1QVOFzQTVM0l/jJgUqa7RGfjupatOE4XzVNTK4y51sWP/6BP7tl1j8
gqi/kO7RA/35S+ggnNDYzt6+nsnHHK1y3uYau7tYDtNjberEWBkpvHwNvapv6CNEVA9HkQ2ehM9H
/NKNUwigPY3rrvSeRALPY2reu2l2GL0+pTgYjIccgPeWgoG4Ei3Hdvzr7/BhPXy/Di4rocG42pIs
jD9/hcYycfDIwdvH6AHWSqdTN/ZqIiI4+fbrIy2L3k86Um433qdks7u8G/A6/nwkG6ZAXhkcqUdJ
u0dQzcVzyMJUrVnf6jatuF8f78ND9P7NWHxdawmBwdO53IE/3N7CwGGTa3QB+5AkeFYUnOwd0tlf
H+Vvzh+kNgvaGko/Yb4L8H44iqdYLthQunslhnjHOPFbZXrxPm3+yR4o/uZxtQVhQET+sC78ZVFI
QkN4bHrcvaCbf5hlIzaRxz0zLQYsil2EKgblAy2pNr0jWNg9Vxlhp9YSFhp1xXzKbbu+VdMirnUW
hiVuER3/jAGXENRacAQLPe1i7s3HnmDGyTdnnW1zmOClWb2nb46VhcrKJVW1EU7zNDjE4P76bH6f
t/x0l7i6jgrYplRBA+nZHwSLgQjYQs9q3A8JHJmcuD3i0YPmQJQoGR9pg2zILL8Rp6at7ZRsOG7e
ZI9Jrdv2RtVu00qpS5XG1L1tYa5rXF1PBiXbxfYm61USy/KEFHujjEHcGyR/0AQl9IROV5A9CD31
ttEc04mlNKZkBANRhPG0S7HzJH34ynLGtqO1yevtBJmSMVgw3i7Qj6pAwLRx4r2GUYumZQzZCaPn
riHT9AGtdHJIMNyvC6OO6DOFweeIF4+fo/A9WNXcX1eZQd+2R2B5RiqZ7frAsTcVWhN8hiAdnY6w
Sp/tQblPVZl+agFEZDUKsSKftGumzNOXiYkAhoao3YRpa+7swIJCnjiR8Oe0csgWmq1bG58NxO4m
f5JhlH6rICWMq1T3JphOKoJxPDAiZtsRjc/SLUhTzoXaY66F70kc45lOtcM0O3XXrRsX3srM4+G6
a4v69yIBX6zXzUZjDuwj0PiqpZp7pRWZtrbCmNAPqY55TqMyc4x6kwrvMPZacSmDiowEUjdarBdM
yTVZMJdKaCkFbPcy4hNNum2rphzAQuTmix2RH28h2DwQOZ6fraCaHrUsbanhkZVeSPxZpPOMD4AH
ZZnPTN3cCTCkJHNY5huQ/eYm4TwVh1bvPL+WjfmQWtsiqrgjenYGXW2ab4TulFsyR7Q1MBWmd6Uo
1CMgPgJb0nHg0jCLwK8d7oep20aReSuCvNuwtvWHNkPENGkj21YViS/M0/I1W/TqdlLZVRzY9DYG
gsv7MOvWXZAyA8ft6ysdr4pg4qSHiEkSbwzRmoVXbBZfI7QT+6htiXY35mnDfv+J3MA3QddrPWAN
87XE8T61duDiI1PGGRjMACQt9VZlP5Mnp7OL7ZZ+c9uDHZGeRosNxJ5v5EXiW4irTpoberu0ITV2
0lygVhgE+TBjsI2QNPoRiVolnjtGVSteRsyk5iWaO3SdYp0MC5EmdMRONY12siEFnVsNWpAa7ekt
GRqdGJpG0vWcbFfQR0+qayh7XCGjMerTNBnWIcKOsTdMULCy5HFx2IABFEOgMafdBncR+gCJ3hQi
brAYdovPaCdCEhGM7ouDefjZ7NVwZFLTY2Rhh9iHlXVWZH7s6haID9ab/tAxCGFjl7LxzaYpJKEA
EaJxAMYhZ4YetZOTcIDHcYTy+2j1erE1dREd9DSsNvToLD+ZQHAxEol3Blj1c4xVf1XomFgIJy/O
SdFBpFqUtkf0O8RYwMrdaQ7YFJAk6TZI+ulb36qhvOjAxNdBRVEAzkBniyvQMYkcgzGJYDsD1MpK
6HC89H4ga7uN1FE6LYQZ/LyEk+nTCSJU8zR7g3UteFARvuo1lqGgJW6ZGW3PYEENqDxJH6TDpz5H
cgy3ThnLT1HcFmfETsaDplNfZCXmLMSnVCdLrDUTDDYopJ7z6WhoLEAw4gVH3Unv6DfWz7ic0nWq
zwPWKepCza6mXZZi6R2sOt1WNMs+lWCOD8QZkiFNz2CfJRhpEsWXrJHOXjkZKu7ZY/4xTWZ1MaM5
OMpm8WfSsTZ8x6TZnJRMbwmQ45sDUb6mqTogDybTG/Gn2GCeCq9nNGZIgKyZnxFe1jy9Z793Ci/m
kAKuYXiO3SnQHLoorSln4m/ShLGsR3I6IsCMLDu8mxWKmr2eOJnvyS44UqvYTFUQlVJHqmMPnwHr
HNnX1MD9p7hXrOsQbo4JXUQczygZdoae17ug0GyiX0rtbuIAcOToB69mkoD42FNkvw74DnETLx5b
XaLpC9Kwu1M6Dly1eHF11z41pKrtJJ2tXZMIJPXUi+bJHgn1rVkUDNWZF9JtMPqinzzgUXZ8xAER
XXZMwWTAPhiBJvyhbYmmTHFoyVi/gWTl0YiOwn6n3k3GnH6ZflaWW0dn1eQoppIJ5SnuW4BRbY5N
TZlEitPYz1EmkTrWkOyK8jm6jIMYEeO9v97/s2H9hw0ru0UQvL/YsB6KL/Fb8fbjhvWPn/nTaGL9
Jj2SKKSF8OX7zvNPILD7G9wnVMwmftHFMEKF+qeMxvhN2h7eJglYwnLYsv6//aopfwPurS8/9oc9
5V/tVz/KaKC7m8YSJcBWmhKUmvfnYrvD8RDP0Uj4h0leiUlA05uND5+3T6yLahXhIutXUzPNftNp
/eCnoTDOTqTyq9kJrNE3jCLdkPnbf5FoSa5nAJivnp6Qfx16KVHS/FS+HssAHVgxF6+5HZgHHbL9
tYoHZ6GSK/OKstidfUJgmMM0XuaAJXXvJWGrd2rs+mu9f8tLxTsXc8Yn3ofqpUxjPPdznxUzov5q
fEPAko+rmMCNGYV6CGl39GgCrsxWhummcur09wglXIh+IF+iznh04F9NMTzGekRFl3nd1UIONtHn
EeCwthVQkk1WuhJbhuklBiDdxNzV7PLQkpBudTYT2bsbRJ8x/uoic0x0D2n5uWqq6qVsqWnI2dJh
zhM/FnrN8JmhXPFitTGZtQiCpxMTovp2qpLwTUQCd0kCfD0H6IfIs6JsFDpoKXe4zPZY3tjmVEIE
dscaMno+yF02xunFNfPx1srMeVtN7XpqyoOUA3lKxNX4fdGplWNNu0HE8gaOqAd9w8w/j02GpmXM
3RvHNhggtEl7b04w+eKGhBxrmMx9MFcG9anGcM1uQ7lOprk7EcAeB4eZ1/9x8QOD6Qptj/h1u5Zn
F/h54Sttyj6ZedXddxb1UdIZw7zq0t54jmUaPLcak6xqwO9ZFJ52HmawcG2BOaaEE+kPoHLOc2h0
T1k6VbVve7kC6q7qEzOh/puHDoXIz6nV0nWTMQzsrSLbVOgvknUxeEy1EKz1V1hCFCl9ZDi/1e/c
NDyf9i6Mc3qwgrLmNUmIul4Ci+tqldZmeFO4XmHs2eXEd6QBmk8izONbb7Y5GtgJdW9Q3QGqiKyT
IRKE9lFXRnvsJMDOJoCCou1rikmjvwsjks4cctpftCJUR5j43le0E1JtHZ2JOW+mwY03Q117d5in
5oEhdlhqz5BBnJuIzETkKy5g7BWxb+lnqypND+MPhEyC7PK1ZzNzrXOjwFXppY8DrrAbOSbNVWNM
0VGCKcXWXQ6IiYKCMFJnCvM1t2v54Jr4bkMCm2EuEkl0NsrQuqp7qys39KWrS0JnM27QpvOUP4+F
kViEpcPmsDg9Iz19wKZ9rPOfsjDCtl3R2pgSB/WCN+oZeBeEFC0Cbq2dgfehCQr6WQ/upqE3p2Nk
Rwn8B+fGcBPKJUvOvmlicIBa4t2PGU/Pphm77CUAgLEyMpI117JD5OanlSgRjjT2fdfZHe7x2Gj9
1ppqiJixfrGwqJxbFGQ7i8B6dhgNaNd0ollPZufGNZGeKJ6Xu6BBlrSK0eU9ju+WD8w+enIjY9iu
3pq9W6ffW3MDrjnDCFTYF2HU2n7o1CcLGfqtRocrZeaBy8TEbtKHhXNVLg4UcrhgDC6ulKrLp1uc
PuLQLZ4Vun4hWpkmux2UiRLoD28LwHPTyzay4kKaVCvw/LFS19ElJ3CnW1wyOnaZPjky8eE3mVq9
6xZHjYe1xlk8NjZmmyTBCFaTBW64RsOvWRw5Nd6ciIboIVj8Osbi3JGLhweD+Yu3uHpgnzP3Xpw+
yWwEjJVZradOfyoWP1CwOIPS6Ytq+lM7cw6DVj8l7yYiw0v1LcG0j+O7wwirkSsnPEeYj8CFZnBN
xJ0+4UsKMChhnbh2hiS5abEuMalhzjed5OJpyvXyvo+JpMtH2frDYn7Sh7Rfi3dHFCodd09BBTNi
MUx1371TuKhqxEBHZRLPuBisJs/td2IxXRnNhB7GEhLLhQcnR4XSivl61fzCNKy58sbB2jowHAW3
0clZrF16qNi9vNu9Roo1zS60nYVanAYjQJTp3SHWlAZMqcU2Vk8TsBlG3JAl4ja7TReDmeOpL7Jc
bPlxaJzm3Ks3WsMcyK8gLC3LLCjolcvt9yCB0KwJjS/X9WJpmxdzW+iE0yVbDG9Tb6hHUBaEH9rI
PoQX39pKq3kksMopnGO4kbDPoQ3K7/ssCG7txVyHgBJ4ZqlPa5PL5KHfX6eLGS8bg7doseeJxagn
FsseiUvmnbPY+MhFz/3WdI7NYvEbYSqtYKE82Yv9z16MgFEyBr7n8ElFKj8PyPOJlPCkP3fjtDWn
GTTPILNvTgMuZB42zWI4HFoL76FabIisMdqZUDa8iTWZhnew27N1vVgXSUw12bphZ/TGJvpsvXsc
vbJpfJl2d9yE2cWD93CTwPZYOYs9Ml6Mkoah30irsdaLZfCQL3bKjMb3WoO6cG0PxqvdKzTmhpbe
54sRk1wT8dQyU95C+MCnyXK4eDbR25A1KYst2SF0JEjh3sEkQXPXY/i0m2ECBR2PB6flFTmms3PQ
MriA3xvL/6mT/6FOFobh0Tb+3wc7V/FnjKpvxY+F8h8/9GehLH6zaIQSxIwCTDrv45s/HdnQENEl
e7YFb4URzY8MRfc3ylcdGbpnOrSoFxv+n5Md47cl+YLi2np3eDP0+RcMxY9MOoHMnO6tycCD2eBf
KQf1SHeozhriKCuLHD+IpHk87pUNRT+I9MKh3xQBs0Y5ZmjDYzzCphurKarUCmkULJe4L4SxhoZl
wqOyKQImtSoscmVOoahhJcAjWlA3RUN22g9n+m/GRR/691SqfGCm+VKHqGej6fu5xEezC2hEzepE
+x4MXMScxR5A7Ez9IvQFg5X9w3yK/jm/8odmMIektw4Oz2Zm4HA1lxb/D811DWF8pXVlyELsnctW
akhDCcCBV2NZYQ07mLnPHgpU9eINtVePfmf1wPip3fpga4eRUR4CGdPvnnsUWGSIBktE9AKwI2iR
uQzb6BGTrGU8ZMJo5521xM0j3QD7EMYF+BcjDZj+16rOyYqEREuaxFBwrjUHhhTDMXeN3sV+a4tq
AQfVLofyoqAPNwp0d77+znQYHA00v8MVQcDfIi3cBuwwrqYFJKkMk5tgMOmfKvqp4KlJpKT7UxmQ
jdif+JIGdLgZYm9Au7R8ch0hl1rXUSgeDEMDThO/gyIaldQvsEuAtzkDH2MUsTtuTHuhw/UQuH2H
NkZ0Pb7nqr+jrKbZoMutapuW96rWhPEgcCg3JxJZpbjM6QD7xZGTUz0LyqHo2KqG+y8kYsrXxAI+
RyMmHjQTUfBT5RojDEfRLsCfZlwwRW05lge1RNr5PXsw4t0dDcBFVi38rgofF7yuBOCkP74DGeFs
JdFNwJCIYl4VZB1ag8n3Twj2oJmIkbCbaHX234lyg6HydR07t5HT8av1hgSLTTxZXAXHatvmOUJ8
X+2tWSdR73smvB2bnJZYy2jRjHZLbvgEdWb2e8HU5QRWnDT3ebkkcoLzBbgcs+FQmSSI1wTlrZEG
Edo1w1q7wrwx32quTgxOMvLwwmo03HVNydFuGjXxEGbeAhFVjqRjimQwIypbhuvMrsl+IUV5eqCx
h5vd9kaJJi6gWzbbHQPPpLWv6FE6n7ReGpehr7IbXu3s7QYr3sMTt1w/FoV8K8K0f6pMPRnx2XLL
wvkibhz1jetHCTMOP8+CFDzT6AAsskuAR4TSNO2tiGdIhXYvuW0QunN6hxh53bXejngkGjtkCwpn
vzaX6Sqkkdlk32Zp4vOQj1w7RoTW8G2iIQqNBKEysy5Y43fxkvdIRw1KI0ZA+60RBZb7qPSMB6S6
XJ4s1Ujw1YKBa5sOM+zJ9zRDzgwPF4pFHkokWsjRoL5WzfM7VJHEOR4EbZac4FhUwtmlgI9ONqxI
ys6xIfSkTxgcJwEDVMZz9Z6xEYYToks59YSucxRnTKmOiTHWvM34jiWEzw+hqUNjeyqiVKiHdJ41
7ZPW0Qs+t7zwFX5c1LfbbDJZfud8mLzH2NLz9C7oE7Ufc02B0+/pOc69xQIxTwsxFWwr53LUB/A8
nrdkRlY6GJkgc8HIwD/i6YG3AR3r/UZOR40LVy7YTjBCy0PRKovfMg4L4K6wSvEQd4uAisi8yHke
M7cT1wmmURwrIekyn+XCxI0cl5GBCwEKQnwaJuNeBqFKXsHJDSEuwy5sv5iB26ZPihXCiGBjzrbC
Bl7gSVqNoRZ4qOdC2J5UP8vwgdvp2NTYR9Yt4/VLgpN6fHK7oE6/2rJA0r9i9wS6Gty0ENfgNHlw
V6JLQucQFMLNBZ1kR9cPkaD8Rb+KtHKlxaH+Go8z3hSGBpfC1L1nu+9IY5+Ne9mH4zKKKLvHqZy0
Tdo20ZqYy4Xshc7azJCSmkEQp9jZ+4HNL36sdSRze0/x7Azn0mKyET+FkUVaqFXZDqbZEqk/FvkK
Izs4308QE4Rv5vqrhsuKTgEznnRitxlHSOT3RirC3zMCGb6OIRrlwlDFdQtIrMMVM22YLo63ZBGF
r7bZFxump9a6JATizq2D4tUAR7QVhR4GvpyhCuqtVDeAPVNfglIxIa+ljHyqMHsUSSNRCTftlgir
cUUPffQLFc6bPh+Iwcnm/GxbfbdZyuVblvXqNfG66L63sptB6mOyU+zRtvWE+FGnTb5j7Bjfh42T
PQ651YRbhSriTJ6fsc7Sej5mmodwwLQgA9Qg3klNgPsS92b5wEunei5wAUWERDUF4XN6+QQ1djm1
eeytXMdm2+tgfbiA6TRxQfVsPgLZfIuVVOjiLIvZcxJuQduLC2A7CadEt4sJPS3lwLqhhXCqm7zE
ulJPjN/IVDjIaBTb0DZuk6CsdotjfQ1rpXpOUlUNvKV6B6pqYPSbKZfdpcaRcu9VWGs0Whhb4pkd
RlwaLNoJrdxFi9r6xII97fWimA6DZngHBlIDKQFK+a2wYDR1E6DQonEe+rifv+hQAE90QOeTKpSX
fa/T/3/BzdQnaHT4x2AxInXyo6ShLnPTTZbR+djiFieqOPP1weQlhJTchYdBnkzAU/4PQ/Kl6vm5
KqKfi8wIXQNGQ7QNP1dFVjAzFBtgudVMcl5iK2ZhYKxBjfHrgu+DtOH92zlyUU9Q7X3PtPux+uqj
0ukaL2RIAr+RNVVX9CSRH77YY8CC8e8PRkPa4HQiE/E+MrANnmGNsaJ3RE1Bv6EkUKxBJOS/xxn/
+lB/LWRRHbmcN1ivBmyzD4VsHXqy0phvHTHWGZcC6trOHrwMGEJL6pUs3X+4S/7meIuMzOA20R2L
6JufrxdJxTy2WW4f5wU6+v0VVESQXn3cdFQjTTxxen/9HT+IRbh2fDlXd3mpWFy8j8X6RLew9fB3
HRUKCKSX2pLtxYLKG7jA0Ao7x+GnfC3v+bOuJbw+fv0B/nqTvlPNPZfhgxDoQX/+0mVh1fqYpcAc
u1jth0EzD6MxlKf/w1Ek8ivstTZNmw9jhwwhZxEQOHYMmZfupxh5lFzonP/+KGwoGQUuihT742Pu
tKaobY3v4tUNmOGYGChB4+nf3ya2ZzHkI0aXQc/H2yQFDhNXcWkfRcBsFB8KNwXxfnBtp6CFQ1+N
/fwPW7pFTPPzSsKazhrG17JM/vTh9BHIEUxD5lhHrQycZ6Nzw+Os95QipCh5cIIm1NFOM3OL/PqE
/nVlAYnmmQvtz4SN9vGrekil9LmyxTHtMNUEZNGc2gVcOCdQNX99qL/5itwcZGVSgy+BmOLn+1Bm
A5q2KhfHUUUA33NIgvOCBab/z4q97OBAyvxLUd3y9GFoXyKPF6wgI7GfD9rreJ7w5RnHzCFurMhJ
EMh0N9rV+rL5+fUXfCcE/nwRoeljFUVu7GFo+cuTFrnK1VlPjrAqGOcnRm6jIJd6dkeQi7qUcNeL
VTBRJmNYY1dBrdWQ7taj8bC0xmJzUYKsDQliNKIG1K07A8K6cVOH2Jlff9S/LoQeJAB0sqxIKA4/
aq+L2B7iCYPfEfk3B4oxZ75At+J92SfMPZG+UNb/+pDGX9chNIA8Vbye0bmidPz5UoSYD0XAO+6o
uRq17khaTMX8e2y/uMrglbmQsrnfE4jWBE3WL32/oPDxa4//zd6ZLLeNbN36VW7cOSqQQKIb3Al7
UlRDSZabCcKWbST6vsun/z/QVf8pq85x3ZqfSYUiXBJJMJHYufda33qsWwspVh31kMypkpArzgJE
2K/f4L+7Jkv4hL+I3gAevNknEU0xNfG56698/sR0kk8iMuxTm9kFvL7a/Ls2zl/uPSa+y91AK4cl
StLAzxekjtul6J/1aZAhEfNmsgwy64JlOi2g3l9/un/3YgvL06RBw1bzdm36GiBPVAfzaSIG8yEp
0uCMxYhTDrgRTkm/frG/fNXLLBsVqzDx6bKdvbnr4LkKPEbmfILEysGS9jsrixuRU+KvX2jJR/95
33TZLpfiweHDLcEhP1/DzFZ4PWmaU0E0oFdNznC05NFqp+9w8+r2pkoW9LGMJEGmo2KmnFWeDRk7
Wx6DZT09KozW0IJGDktrrELkFXhAlk3DpZVF1wtfJFmnHM+Zwmqmr4R2diDsmED++pP89ftBGBAg
Xea5xijybSkUF7MPq6BtT5ae/c1YEPuZjwpTqvlP0z8svn7k8a5EL01L7y+gjS4yrW6YUDU1aNGP
vpXw+euyDraGBddUFtPf9g+Xp9efNkbUzOyHFrc+7E3H/Mu3VOjcFnjP5MmtJ/nNda3hRIx78HJt
iCzyMbGpdea8K6fJ+pudznq7RLB+WOQzu9hfFlIJz4Cfl4jMyN+SI85YgSc61xvsv27aguTQqJqW
SbX/xSVdUW4w/oj2LljSEApIyvHB6sjRWllWMj+aV7a0Tpd+Td14y8Gib/hZ41smtsVtsYLx9x88
bOYgNcoxdg4BiOGFxUP06cUhdeAFqTyPO4OHwX7uGug6yLsxNKLgnR6ccYJr24Ypfb+UxlG4imvE
vxs/YiZy65gLA9wEu3UZ6TbcYdsy9pOM3YdyFviMS8Y1K7rYOLpMr7aImTTBHpM24PQBLLemOncp
dBmiRivUY+Vcaw7QOj4xxBZrOWQOwKxeKAbwjCXhANH7RvxWfrY1vEbuGZHQPOrREYivY+OnNMUN
KJJEY1RLM3SOUvUAY4SfyZDW5ZFgDpreTPlDdfiR/FHUmn/VNU6Ga/E5pCGdlyBb6poaU+RHVYD2
/k63nNRoTFwNB/e5mQKwSL4xPUI4y9WDnZdZeU6jeugurd3S1mVetoCBRV6lj6U2eV40fSdqGNik
W6Sm5Z+RppXpo1eJ9uvUmnyK0U4c/c12i17eNjV0zjWBd3zNEwnS9Y6PTsQIUZ76qSIVPEAhm8jz
wNUc6Gj09ObitEunnVtBLNjQB6Fz1RGa4u79fCaYaCB8OF/3ED3EFz0udKQp6Y2nCQK/JtxlQa8H
ZiFp4ajMJgOnGOEPPgrQ4O0mZbmoB86rZbMWOAGgUQPmPg5D03rppu8WhQxoFWKZLbZwB3lFdSK6
goOE5Y2xd5ZDKMYj0h9wN90kCDP+EaXiIzTW+ynjDAsTJqDLGPXm1Dz/gMwzK2WBFcp3rTsjbng2
XOsAevasPh25tBqUixL5BEHXnm9CGiE+OtC5nL4HnQ4ffI0U8UcLzsl63oytJvEsE8v5HIdKhcwb
27E6/LitQIySXrHcM6NnJ/7n4krBH51ZPItJEBlBt5fevNVJtnGgB6yi2nc5manM4bpabc5nsJO2
/zLHTMJ3E3LPhx+jGeHLz/BllkIiktR2funJz7lIlk5sQ3sebhrHn0mYdOCvjz9ooTQZFb0r7wx3
qCcU0oynZFf6qdne5EHEbZpXxhL6O0surAwHae8SQDvxpS1q3ogw6Z3sgEW2j4UW9fSpnzybQNTM
c9L00UdV0d86Uyae3SQhKrdvwnj+RmIXSzYBhiovs6joAquZ2tjm/huJMl85jAGAtijaFawVyTQH
gqXsbO89hXkKy91B/1HZqyweKsyVYahzevNG5iSnrIEyAEOQpuSODpr2aUkAwzvl5lXYQYe8W2I3
dD8k448n/n/npH8zJ+WZ7XPQ+c9z0mM5vhETXn/h9xlpYP4mSJ+iBKQapyT4Yz7q/gZ9AA8s9jag
1sxO/6UktBdi9XKCojezCAmpeP6Yj5q/2e6iTTShX/PM5bf+wXxU2m+A6BTqqGhtl74F81icLm8e
nHPedUPhxf7JrHPk6UlbbcbUSh8nZMJf82LQR9IkYUXi/IYbmV4RkleYZLJwJelWGg+w9qBNqmoe
mAx04UuqkUHc1AuYUnWgnY7llRwZFuhk1vUVYynohgO2816Qx46XnpR7TMgzY5QT/MXs6zAAxBzq
3n9RU5kA6rwSM7srPZNH1aKUYA9c0JowM7Jtomx4m+6VvVnktvuV6O/sWwGZM8pAdCLxH953cS0f
gYtC8OyHKvzeLVjPyBhuCbfgwAbwNvmoF/ynDKPh/RTVbERzq74T+46eOIgclNrN5D1UEJWQRs42
3gYnmm4pJMUIK0XO373cMC5lkQCn8IY8uhsMKzy6Vz5pBPmT40Vpy7OlkjRZmwgrYGOO8Ct0FRWH
jLC0LQEe6qOYIc+vbT/39zzZ4aIGWOme6Piqe5RVsEQZ0B7iMYv2DNH8kwM3eW/C07c3GsvHE3EF
mJR0oTJvNc/KmiAJW2x7RKcsLDNZBl/nxRoHwbvxwFllAzBkWldrK0wx9YVpsmUi6+qVxXgB18sU
3DQaGPJCMS/I+az8O4muEYHU4PWPg5fXh2hWGGVI1UOtyQRkHcR5Vq6ldqunOhu7k/B8mKXWxMUJ
MiK7jarI7gUsB5PoDZ3cx+5MrBLkxOFD1pME5fay8wF9l7i4lyHThO7JC5DnuWG3iQi53WZt0dzD
vQHCOMXAQQHiACkZJ7ZUM267U5fktlq5aooe/K76zplv7g9mp+t4Y1CofR+jNJMrm9nYuIql7l6L
BnnWIYS98RL2U3Ic7KLe6oBImCNMueEzZQLiy7EBQwn5chcYduMhzaztnSgDBKpTLMZ73RHo9lKb
BNYPF234MSG/giFEt/d4Tj+Os6ce4Gtxqv3Kt8uQca3yJubaTrIAcnE2dUMY2R25k3l4F7Xwl2if
8ACS3QAlYXTRqQnrXeTzGqQ9b6jWnmQ7Ma0uKIuxK4mhOISFWMLIYYJC30bCHljeCVhuumvzNOf2
tpv1TOVRRSnJJUxgVjIAitWSv7iuOxHuEpXO+IIwQsRTQAxfZBO2koobqwtATpjCW02lfMSGfchG
0znrSobr2WygCJvFfMCWwXXvpwm00CDncFP4DStQFrXJ+LWc3U3b9jb4pBDoS6I7OhNNvo3BzB9t
5oDn3tYAewDK7WsHxDI4Ml3fuG3dn0Cs5I+zKGSxikvX2btJAdwvaC9acWOm+AC1b78TBttA5qc0
G0q5IVdHrco4aZ+N3sruspHxL890tYonRzw1MmXX8nN0bAF83ZXpgrWGFqJWTA195tQgCIY+fYD6
8hLIJltHmhvbKO1D0kUkVBRqm5ciWYfkbK8TrH3OCp0uxkTtMmRP3eVql+Mzh2e1MeF3H7Hc6K2V
ucClrMR6dCnYNmxP6RZxpXOk48QEFQQjsWeypaRAz7elrgSbA7jivZ1J+YFZXLJRKdrHqVJoSPvO
e2Z20d9Uo5tNbFItewpyLlxUsRMar6aeSsTgaaTvzZS7l2z1hCqOvRG3jX8oNWVfbwTE/AgjmLZR
G0270NL9usNwsx4ZUK8hf9R3+dKz95p8wY1an00X7ScEJwqzMNegYupuC4YMIxH1trqMCI23oQah
DmMo42pbdsKNilgteI0RV3DN7QGeNXXKhHfNwOIDsfs+aX04FqZD8HmRUpN1lrk1/Qrfk/T6XdP6
+QdUm/6DIqJjXkd8/R8SkIyW00NoSqfiHhN3TFkUmc80xLLv7Sy7j56I5JNXT8WlRsGxnUFK7DK4
dreD7vxjYso2XTEthzboWxmbror7p1jaoONozX22W5a0bdfjGWZ0cevT7jhMhiPu29ZJ1+iKeu6q
cX6KRM6INzdEfNdhizqbiFrPrQPpwFROsh6SNgWm4rNlZtG9CNrkEIdGDL6ux/2SDj4xTOz5Gzvp
LGsVdkqfzKxSuxxpPUSDLHynAPOoVV457SdkcgxotTHEZ2tIW5yhYY2cQUxfsLala21X+tkeOPJW
YeI1BFbHFJNe3b6DzmWdNQzCsx5LMsEz10xYb7V6dNxePAGWtHa6TKrNPNYw6YlEV++rumofbE31
rdoScwEbU33giT59VikwKFtJjzQqSJxbYFiAXSxJ1c2qPFG9XrqesBV0zLboug9m7S4iwBmpZ2p+
IIUyKw6A7pr4vUQzWSDuZPjFkyg1ATDpUoH0KYB6bXs8YJuZ2Xe+rcxJf/W7wd2itUAu3DAlXS1i
IlKjmjFcRWru96OZP48EIu3jlJMoizQ88lVmm74osou9KO6dwjv1kVHhVW1+74j9tz7+m/rYwpNP
3fif62MgNUBr859q5N9/6Y8aWYKBoFHF6FMsJWlAxft7nUx/ETwtQwXHs0xrqaL/t07GVsO/gI9Y
hIdU1r/XyLb9G/MpJkcuL7L8nv9PamRgED93tgRFsscABe6AZyF7eDuQaobULyactKeF5bKxZbbr
1NDtYBH4mHwLVR6xVeADQFChnW3acOZ8pzon+QrwzaKLNBlNpQnVzIM43Bs9xcNzP9fZDV7QGA22
WzSfiOryPjrEUJyUgF3WjYm1CZZ2UG3GcY60KEx3bhoMm25IcEFWtVF+xEhb3hIUV7FdzmKPTGrg
IaWsapcPYxN8HAib8w8Ip9BGdfXsfhjGqfcfZsvx0H3E6ox7pZNb2x14ggU8EeLPQ2eoD32TtfmB
2AOM2FXbw/Ts4E93BGdkuckJl1EqWqx8jH17vMsUWUveDhe1ru5QDfNxUXY3HBiKmWPpoWtdADk8
KmvTyPHKMrClEWmFzKk2bIBUOj687cWGAJW347Ew5/2I5gcExEiljjBrLeizmK/jmLWj3qYQrDFQ
pkXrIHshwoZctrxvNJAuty/Ia8BPZ/AA7gJJF0L5upZi4yQVW1PqYgio1k1UWcpLV37Slzr5qkMs
yuznXQ4lAq9wGUtovLD091Y6hUBr8s44miPUTnqKILWo/VbjIDHLtLCClWEM+wjZy1NKfhnkrtZE
60Uu50Vko7Nzg2r+7FVJugVglq3ndFYgpVqiWolBPTdGbO9Ju8iPQAT6PeT+Grt6URJHPWT90R+m
tderdJfnRbmxXRXdOxb00kFl08aVEbCBzlmAXvjUWx2ElyYf8/dYJXEKpIihlsdEdZ8l7ru0zKOL
HdXtw6gG75KROvFR5QDIokCEp6ZS04X1UO5IvYhfsnYKHzKrhNekqsXz2Pf4PD3cWaOIvbsgSMMX
VU32YVKucW9MC7UTpj9pNl5jn0Os/Xs0JLHeCMxg80tVQ4WDcem+g7dZPLXzlAIaCBWHHCep7WkN
Ic6b1uWs9bFoLNddBV3Lzt8X3XGcdLMfSTV5IfzWvgm0xzRJVM74LAOsBXBQsQNseiqi72KULo5R
D+vVKioBl6QWCR4UzM4DLVxIjaPznNTepk16aa+kPXlnAVuM+IcYONwqbLCs9VFk3YhpKg9SUvx2
ycx33WfwH1XmFi8Ntm386F71Baf0e3rdw5pkW//EN00WQmXL9dxW/q2es+mC912dCkkDLgL48IHC
Ns8Xjq71mpSNeWPowiNyoLa9EzEdwU4m1bchqMMD/e16q1C68w16yVOQ+v0HKtPs/Zzq+L09YkVb
O7WfgkQuAk7q3GGu0RFp4glrG3hjt4sr92Ysqf1zP872SWPP90VQOKdxaoMRc3iaIGDDzXUvkqWS
wDWlVui344eCZu1pwvHVoCsE0zcIRlXK8UlqjTsYfJKQFqwbfYUXi3KE69KtPC9T68gwcVa046k0
g2Jjz471Iun+3XdG8y7WzVNSGd7XySkpAMDcUyc6GJGdtVXp5NlrEnmTm3N4JjiwAiPZhnBGo2Mg
W+92RhjGrdG3TxppH/Y+s3x1e5MYlFGXD3YY6C/1WAIpE8ZS/qLvuomSSL5Douas3TqzCCLJ63mj
dRDdMifpP3aOAR0tiyj0cyBkqRBULFNz6pGOfW6p/74Rf0GHfqjPVh+CzXPHaaOG3v5gKXjMtuFZ
iPnGcT5fFQkydUEldJ1lcMdJZd7RHzR2TSkMompNv7zAHaPTWXUiAFU5ibuhjelCZ+FCAoHYjwzE
Ut30WI6SlmYajfbTAO75C7MBxjV93NN+vwp0wpAMBsnp+lwOCHT7RVEZuItYeubUxv9q2tNDJArs
QSBimTaM0rxFY4EkVBjtnYdrfF5FPWkajEXBeEAHP5a5j0ivmoV/ZqBW3rVxm7JEnXLdmdNrzTPv
UYzufES62K75oxwGkrA9OrDP8UzL6Wx0VrwO/Mp/lWXjfC8N+TWuauuMq6/t1mB+ZyQwybZuEuht
uZHeckD3bwM7Tc/KLN1klehXhUd7wQKWuKGnd6XZPE21NpFiNnCIw2VAQpt9FwvhkH+ggwtxQOXW
cC1wvrId20NkqLssHaKd7ONwg+hMvCfIVO4TSNI77vfXRBf+Y22RcqnQbz1HnmAHUU11GpM03zbA
QrJbpwSp57TFcFuiMDwYSIZhtuRut5dCMNYp0SZDUiZdi7PzV6ynBvhn5iSUPdJ/iXDUnniH88Ya
qwWhXOHtzlInfwA97ewyay6PouistdmaE45PMz4b+KDoVxXlvuunfiP7qftoNQ0hsX5ZrBDPf+pa
8SWpKyp6Ho/nAYAvJ9t2VA94yznbtyU2txzayGxP7XdhY6IjR6l/SkxAJoMcGZdEfrojThqiXmOE
TzFK7zvXhHU+BjYldRs390OU2GKbQIYkchwywtpolHEc+5smlgqx1PilMWX2CbwcnN2RU3VOkMR2
1rRo2PY+kU30rUnj9mgbPO5NL003tcNPoeMFqxlxD8SWzjyaCfj8IRbWjoxfQcfASF4Djm7sncrY
d9i7VrINs0vSZfbJapN4V3VJfewpSLZ9DU/IRma+8zBybAykE3tO6MMN7lDmH9lE26cThrExF4PY
BJVha3tt8dqhfFjz3hH2RoSrzMo9YG8k49a51ZI5RUEaKRCHwNqVwnmtzerS9+T7FvEV08GkDajF
CknyBxFLYpKUGzMR0lQYmbkQkUtIds3FQysQtPVej3m/QrI8bkxVYMrq0lNSktVToMZf1XRdV25c
QKHlxI6LMdqFMru1aRU+Bi18k8ztg4Ock2ij7RwDY/EwN7HadbmJjaI0EIhm8yUYerFJ4zTbo6Up
Nx0TIkAv0JAd1Yt9Mdjk5xqeTfjYxMEpMLxnZivxQSMCXTOO/lZjBtg6DLNWBEdhq40rhwdZqnge
2P1ltARH83yuGeyx/MrWoJEzFBfXGHwexninB6cXa3p//XHKm+BAghOgolj7p7ybL1nsfEJw/+56
QPjvWepvzlKCdj8akf98lrr5VnT9azr/2ZP1+y/94ckis4O9/Q9D1r8mDn7wG9QRahfrKl1CJfmv
k1Twm+AUJ0yTJFjEkyZzgj9OUy6hmz6CHrQLPxB9/+Q09VYhhA7GZOQBkcxGGENexhtBDEIP1fg6
jE6DoNextm3hXUYR6Z09Ft0+run0DuaXhE34WNUSCmpS+sHjUA7dgfjDYW/Xot7jvjXNH9Ot/6gu
plb++ZzHW+OSOOg4LQ6OUFfe6POm1pmdFGXF0Rtg7d5T6Zr3vnY5nJDE4aQr0ZdPsZCG3MYN09cI
vzdzfpDJtErDrz5Uv0srHL9uttXs5d579rroblb12K2lasVHyIKd2xDpWekdbTjDx6OSAPDGNu23
oJuY9/uHMQ31RpppQagmlaUktAqHUNq8U/MQ0TQxcuZ6gZPVxO+12byhB4Ndl40DLW/TiwWQkGyn
JniuyUlqeuDmvv2ghdu/I6qe4G/MVcMK/XoGLGJM6i/5nJuPMrRLULpoCJI1BwF2eD91CKAbQktl
J9DzGRiiYc7IUieF9FLUDLLHaGSPC1+mMDL21NjNqY4Sse97u32NTdXcBzmxplR0N4C0TlXpts9e
EU8gVqd577V9BwNaDVScg7GJMYTQrcJlf1dLez4XkdoZMTh3zPuifDRk8NFkIozBAQj/Bq2/+mBB
0vVWZu+Mtwau/AtZVQQlemput2M8TOfI009mH2X3zcy5bNJBAYR4hFaz81NDgnaHh430ndM5TgN0
D7YZu48Qx6rHATnhOg/9/MEBEQajn6C59JaGZmu/SyLiniYmzfda11ta3NauDrLxeWb6uioUWgCU
Ss4ezGuxq7xOpWtBO2DdMrzYUvOLw2SH1dbjFLmC9waE3sQ7wQQCY0YduReuen2DcqXZJV5mnjg7
BKdAuD5dATOLNmFhZh+oJtvncgEG1iMNlXXaGwxa2lgTVGrhyBlM72vkKXdHOtcS1M2nxynQrbN5
wHwSlx2hKGqQO12PE0FjaaU+pyz7lW0107pjpa10G42PpgdQNeAgfOOMbb8lMi3AvK+yLcj7ggKT
jAhddPajgmsDf0NbMMVixZJuci/cwd1q5zWHb/eDwx9Zk89grEI/6LfQqMVnK0oUVqx5/mbhcbmt
CUvc+NPUHMhtBFfSMbv42FqzJowUu/nRGtwELuZoz2qtOzoL+6FEsbPynLYF41TnngV9gvoOW00w
b7IoizTlUmg8O+hBPPwBWXcMpkbcYOokO3LiOh4HDwXnKkdjeI7ojt+Qg8jVk2Q3IJZZpmADgSQ0
SxJaCqF8JTBshHiNwPVZU+dhAQHNDbm5RrgDe2VnlwHRCn683F3Krwn2yhAT7Om222RKdMF48Qoi
vPZeWrrHtGveBWrUXzy4YVucWvIYuAkpLi5JB5tKkFHBTjh+HBRjulXlu8Cd8kgXSxXQpCR+EQ8w
86RuvE9F6AX9xqkbOGkluPaBHHrCLydBn3dFaAnnTDF0Kj/PJWOdVTAPw7GM3NIhoC5jypkw9CIT
t3Sb1RBH1j2ojvHiNtSLoKwVrte5aLN7yY2xHy1fJUwxh5JDTitIR62Ydty5bAc3uQIcTVBqlr+E
MOoe497uyu2UWfZtuFAsjBp54MZb2BbxQrnwSsvINqKP5cZcKBguaxSU/sLGGDBO3XLEVg+xNabv
qoWh4S80jWjuCSKtRvr1V9iG06bpaxJ1tN6wZSCOorPmPqDvz4wPhCLrhbcAu8O6Yjy8K9Ijqhq3
2eEwC7412q5PKJTHjxGpGkSsQgQRHWwQhiYbjHsGpO+FHAJJbTBX3cITUcGQ7LxxaJ4cm97RKhSu
uqCUt96TWR8/evOUiwPG0+gB+XBFHDP0OMTrnmo/lbNJYI4kcdLZNwvnJFyIJ4ixaoF5axpuUW0M
4HfE6ChKT5ikDNs7RX9l4ac4A2mhUD664Tv7e/AIWW7c1R6hCC7+I2ZTganPpHkiXZnt5Nik1rSt
R7gt7A3TMVlYLiRWCv7DomOf5yZPsTquZhOrxKrXBHTAAAMIkziwYcQVE+PN1oKMael7BleQDP7p
/qbzXff6tR0MX3FybzjqwstZW4PwtlhIXhObxt3oy2qd1pP9gkuzOiaV5z0EthK8av5q1QvYJnBS
+552wzkJ2fq1k52j2Q9h3ZRHUGH5ynWMac1oxdj4JrCyqpLJ3YyWcC9Lo+IXQMDeF9zonPEX5I6z
wHdIjrI2uZrhbjT8J/ZN41OyIHsaMlhupFNLbCeVAunjBMPrsGB+CBTzNuCNp/1Sl3zJFhwQq9Th
fHmlBCEcghg0L/CglmAYBdDHxpPtLwAix1aQhkQLR3LbzwY50oBJAns309gDvQ6s5MVNuq7Y1gvK
SF6pRvOVcBTJhXaUYBHTq+5KQfKVN34uWn9BlFw5SXDjm4/xAk8CP8XXRdCFTIZ7w5TgRk33ieak
s0+u9CVbNoBailbZtyjr4DOBSLDuwxQzOyVW+WleQE5dD9IJxhHfF+EokJ4MOyk+2U6d8zcBQVkL
EooRO7wRTwGK8utWnFu2M+6iBSQV6YUpRd0FXyrzYevT/LHSz0hbPraGwOY6gz9e41CvTvRJDY/x
um8wZIfPpNZ9Fo7F1ijr/JEQrQ6VfDJfpEsm+JQNxIO77RIV3iyp4X3bPkbByMMarO0teUwKEBW3
2DlGS+NsgFSApsCgS6vXySUEGVJ0NuGSVE47pf7iB3XFREgbwcmjQ7AUmA5pY2QvB9v5GnvejCSg
+9cw9GDJReeopSUpuhnh0lAJvRqPbDKca5zmRCuwjyTr5hq0TnnSvLeu8euDvUSx9zz0L9y10ORM
1kC4DZbcdoyrPAkIUizqAwlWctpMYwhQsfMk9VeZ2f7TNJEDX14j4SW6ihu/SdloVbBEjZRultw2
ak6xLYZeDu7Hn14aK6gfhT16n+rQT/alCx9oxYGQJFW4dCdkcHWxr9sGaYwRgaFcKfiV8AA91e/j
vBIPFhG6+cmvyCiKeo+4scKU8TozI/NY4akz10U5QP60e9fcTLCT7O7G9WcLCch/j3X/X7GOi/3t
V8e6c9nH7V+gdD9+649znf8bwiXmUKjCfoy8/ndGFkhCH/EwMeoC+2whhPrXyY7pGQh14hIZhy1j
LJRsv5/sLP4g1j8U2xbGAEoj8U9OdvYiw/+TAFxgqcD8JpmScVJkkrf8+5/wEfHcjH0Zi+bosHDx
YyaGeDRVrW/pM1a7sk58IJ6VZ35pDS989lRATE1ehCejicPT4mZFZOaJc2m6xR7u5LA8UzJAPdTr
z36VUz2oinT30uwCZkLJdC8Ko/+WNKDtJhVlLwhuu21F25vMmDxErSIJJiksb9ggNEZtG5nNuO9y
Qx/Yh9ynHhrF3wQRvHGXcAWk5OjocBm4pujQf74CCcUaB9WqOlJqTg9IuoI9NUuA1LVbPhfv+09L
5OHHtf0/RZ8/lHHRtf/v/3KUf3PFOcxj6oLbwZBNvPXjWQZKrihNK6y5jY3JPPuyiFRw+nANfv1K
LJK3r+TZFkotTBi0Ft4aHDVTfr0YRFEDcvaz2L6pJB1jT0Rk/ARyQe5nlYSPv37Rf/Px8Nt69AtY
TICql3//04JKTNq2OdXnkR7wTHW3gJVaVIzOpp8cshb/+as5dDhwtPjS9d5OeaPAH+MiT0hVM0cH
sXST693kou6777Pg+devJZYux8/3Ch+Mu9X3MEws7qCfP9pEQJUiDDQ+1mrKUEQpzvIwLfJy4y+s
fTWr6b7nOH8e23Q4kBzWVVuMl+0//syYhHzSKU06Qh6bys9vIxOtx7yVirHuU1TFPOjbjRuF4XPg
VoDLfv2h/7qGHPAyPKrx8fwbK1TDQdnuGjc5VkLrS+k37aYzuIMrKH7qSEsadZNXMPL6m9f96zJy
oLjDOhLYojz3rX0IWMMYR26VHIuxHijK+TZHux9pfsZkwf36M755Lcw9/H2UArA+2QXNRbj75yUr
Y2MUgwriIz6DCKjYzKC5Mpv5JoK+++7Xr/Vmv72+Fl4iLiXBL/IKUfrzayV5xxmF2u2oZz2KTUm1
cMpie/gdj/UfG2Nv22JXfJPtokRmk2G5Wj9/pt5lAuqWU0yonjMkVDOcJ4BT0NOGzOE8KQQKUAYR
rNOxpoEUbjlpqdtff9Y3a2f5rEgs2egwIFikEb/pGnI4S5nrdLyHoY04IA81/QZtgO225/zEsIPj
rGvPf7OfvzV7Li+7WP4xFmFmtMxFevLnSzxELtUdTKOj8kP7fUN21gk5ynxXJYXaN3YF8AEG91QQ
QDZFjD7Gfh6Oo1tMX1Eg181rhVj4lIYFIL9F/hCS5nkKdWJcfn11/t37dPhiCDGhOsD2/ubypI4d
jriUjAPWVffLPPeyWQ8MT/iKMnd0D4XBEWw1J4bnUYWP6S1QEUKT7CIMjwR5yJugC8Ij7FL7LjDc
1tuRt1omZK4H3rD/9Xv966r18VzjlqfXylnx7VtlREwjIBtjwiZN8B1p5E8pZ5e22/76df56J/qm
5CvjFLIY898+G2PD4qIYbYx2v9SXABRPvCrS0rnJWuk8/fq13m7nrJPFeE//GNM6vfK3DuvZb51W
Tgnbedmkm8gPhw0avn4NMRMouVVFa9A9843AO/LRyItoz5Gm+5sLK8yr5fJPT5Xlbdj4Cs3FXYil
/W0DO2vQa3BnhAevh2N+9DKLzbQLJrs6RsiELgY0ti8Ok2zStHqC+eZKJRE/pw1RnbkJJDsawlPQ
9/gfkQ73q7ZOqmZdEzRNjCm+uttMtWj049p61Jkdfh9AS774c6ZvkehP6ODrxl0ElynKXpjbQ2Oy
4SKStB4ddERPrqrMQwcO86wKOfcbQrEN8mLhO81RaPerjIbTPZjs7nMWzuYXbVDGtUbFITmYivB7
7kNDPxU5eLAVvKnwANpWtrRKVU9Mpge5HX1uKs1Vge/mswpC8UpxZb8b0fDXqykccnJIp1B+z4ZO
jpucBGBFtlmibiG65ifpsLWIZoi/9IrNu2wj5zudZd8CbErZyHHMJKIaNljUk/7oyj1Ddoqhwpva
r75HTFrBwPmjX2Oee0QZzHrj7o/SXVoGvDwYUuPiW7i86Kn03kcNd3MzpSgTvOV3Ww66wIwdgjHr
eGxRZ8eZ8RyU9nzLcyZ7qet5vL9e3tAdu62FA/1S2bVKCY9EhHEMReQyPzVzdZuS5EMgqVYJnebr
bsVs+KbpNDuUv4DDijJlRZYmPql1lgl9QP7AtZuJP2zXjWmqZ3I45fu+MYmbtiKzeLBTy1ukuPwd
/Krq1u1Alba1FzMiDkjwDptmjogQCzK9kg4PBRi59ju/AOi+MiyubW5b8Zcsyi08S6X8TJsJgQM3
DVqEMM71xRlpdEGQx5pmDvV0D1xsgE4kRfwpczu2Ji2yFzEz093ayzrMRyD3fo9Uez0rv4s3ehIU
MNCN9K4YMtYSui19G40zc+KQoxf89XbQl9wxGBzpnDqnVy1K4oQPQBeY1JVw3bLAtjBUq89qJDOn
nHxWr5PKCdI7RhSQV5wYQHAazy4y+QWnLOfbyMiSU+pn20DTqJsaOd2DDqt3XUK3H01eua0hbBH3
UDYXsBnx0fSb/2HvzJYjR64t+yv9AyjD7PDXQMzB4JxMMl9gZBYT8+CAY/z6XmCVZKVqu1emftaj
SswYEIC7n3P2Xru6MDxxEUUUKT6/zrxaTrWce2X6R5Qx0XOsxa52VyKyX+WQ6xgjRIzV78pFHPJ0
aQjOjCYEEZnzFgB53gAHwwMyY63Ie2drGtNC09G2Qwtp4V5OoEXdFhhTyFW1X2Q63KVxNZ8zi/yV
BA8DLpSa1F6HaYvRo2QpR7khiR2vWR60IdGYxXYe1qz5zmXs5blvLTOnKyTFuxaz2WYYnGk7zIEb
suE4e0+l3/yInAfUUPalAJ1t9jnUf12Nh1wiu8kh4WHsMP2tRJa3SWXy2CXzh2zs96Y3ul1mlM52
9pH62/ScToYZvKqVa7oZnAYN3RSwq/WN/aN03PPiBERp2Sl8rhTOqus/D0N0qSsRv+rGXnaJO0/n
pChZgN31jFTa862fOs4VfK56sNKiOxsDgQjL4t/kQuHP3gBaExCb10Uk7j6xczTH2aoJZ6+iIVIb
Mi1wGddubW0iIxY3vVfwgeoCKAL9Xnv55hF+sp+AN/Y7PdjygjFD3XFQcpPtCBZum8OK+NY2c/yN
luX4NNce54ca5RicvmGZr7lYnF1EHtjezXXwe1am7WkqfCJllSx5U07R1zY2HwNvHB/FOM87Z+lJ
RGH/wYJQN6SlI8Mp7ztNU1DwpBUnRpYcBey8jsJ25iwCDZC9sPK7EElIylJUjbgOInYElELi2GSU
Pj3337bkmLeXBBMdejSPaCdJ0LjrTP0ioDFuLQZtt65agiyMoa5nW+3nbrZnpon5oUFNVGW5d2/2
UwfZsI+/6yweL04/bXUajeds7E1A1GRb/3CyibRSr7K7NBxYJ0+VbJMzynvQ0/YYdMdlKLkxM84O
lAiF8VDMrdiVc0v4JiYA0kGGt96tgl/anfCv+JVlP9ulJ75P4yKXg+mlBhDlESNR3XMeqyZ1bBCF
3U6A8h5QuxK+VNc4cbUS5OWSmSUny9abxurbz8YOgl0zZvNZaecqSoRVMiLFKESCeEMfueIIUwnw
z4V8KCIV0V51IofiP0tc2hSt9WykRIlbupBnflQw2h4eNDZhnFCVMbg/p8XsHgSo9dOEM3ob1AR0
BriMIzwugLSj2DvAhiz2PuL3HV5u91sONv4+1p2DjtLKTlGm7CtXMN065RAqDMKHwfO4sWV1BcBq
hlEp7ftYFd6R7r5zI2NI6CiSvacIROK2DMb6QIxJsy+WLnjvNV+JhQZWaseQL4TS1BLKHXnBIQHu
ATFvZDQUd1H8UpmTc4ser74zF5J7kVEjXW06I6t2c27ULnz8oSC8pBJvXu7TxKlVfMFBEdTEoLrF
aTbk/Kkpx2+0M/YP2jUI2XUayUideTZ7uivHdu1MerdU7M0hL4WgALDqc2HNmqdLN9cxK4v7xvf0
XdBNwCFVl8gwlcGxRDt6GgPkRQgNggsUiOia9VVwcOOh/Mgrpic7pGzquxt7K3Aky39JryR2thGM
ZOFP00vKivZFdM2PkpfetapmfCC9hVjhLlqGd5ORBLplozNOcUPCN5urqUOVVASRZuD3ycVGhVQz
jff6dJeXcB0NSXgNgadoIKXT7ao4npHp9fWHsKoBYFXGtEOyB9KABR/g4aBi8KbvLXPoPjLUtOdM
FewaLAJtHutwcMl19r4Rr1SJ7idu04AQcNgOya/EAL2ugY8kPNi6okzSxi/lJ9V1Qqx8m45e/82I
o+HDbdPgLe5li/wJ5VCxnQiCp/Ht4cYUZUhHpDoavgvd0s5kvCv9gUgknC5mXirMdAPJBJlaJ5dj
boWcohA82LOAaajoatgqwrBI8iCfSk9Ht8rMK5SGAkvZyJ7BKGsuw6LvfZ/TZZ30GytT09GKVtNg
SyrBFhlTzXI2E98bOJk9h1C68UDKiW3Eoju06pyJwIq7xXhOC2nuZU6cacOmcHDMRp+bJe1/NtRG
63Sk2FZGyVVog/RHBDQTIAhHnGsiGrtC8k0Imm860Qv6VefdsBvjl4304yYK4IR71ZKFVs3LTu4k
v1mgnGAxeu2PqHFTjpMm8VZd+o2DcbTTkU/mQK4efeeFOES8pQvLa1RE3FTlCwA/c2MGxqMYpnyT
iQqcqgj2LgPHTVvhvMGWRjoSh5OtEAlJrrALNwE1NlItFzXXlH7khZ1UIVJUn7gBXbNVxkfclfa+
98dPMJLyQC3vhoqhwT7HZBzmpY+yrvRCCxngpvT6Pc4DFI8o5bci4naGbGpdZq8k6djCj8oLJ3Uf
HOxZAYMs5+JABMb0pJBdhjbUqmtWDb+MhjGDWkrCyYfBPqc0dncd3axz2s7FEf4BG8404M1s2v7Q
JNr8yJHBYv5y2XU4CJ3dvnZ3nUzVvhw17kc9ZTe5NR1youk3pO5MIUW1v9XjdDf6poU/fvKPXkti
uVkiTOtUAyMxwF/GUfB+sjpmtESY7QPdferWqHcNaBgypNI1oUP+ABRb7tsZcbRGo7pZGHxkY/eA
Jfk99d19jcCWc4q8JcPgXBrqbSyXuz6PzhiTvqEyv7Lk0jDCTnXx2+VXpuIXIkUfhV0dGk7TIZFs
79JMx8OS06QUWn6g5O7CpY17fBwW1JMibXdmbX9M0uJgZcQs8ol9KvxWb6WNVrVvUCCIEWed/7Mc
ZLOxS7rawN+pCGI0+N8XZ/k5kbnsZz2iE1HA0JjlHH83mw61Qwux44x+h9iXecYjibPAgnmp0tdp
mLpjr5MbT30zg6FHGAQGJunSJ+HEyVGMMg9bNfSvht0Guwms7XGghrnp+9Y4oipYH/PZPHtOKl79
zq0YKCk/2HbJ2J5S5dMeHbO1nBAymQ41VsKdiUbBxZTmLzd68Ix2D5Ln0bN9+Tve1tk4G01BQ2eT
yy4wD/Zgj86F6XfXoYhHcID3oF1fz1Z59o4FG2DmTKiiPsWYAiXjd0IHN3Q1XeLWEZdCQehijL85
56GjcHph3GqMkem2M+pMbUBaAinuRkrOnGDttrejtyDOo19dBK92w7syYiDQjULEDiiktnZQUxbF
3Pb9tmZ5oc+0zjTmuo/eejgluwj6yb6qbY/khWW6VexxLzBK56vhelTJKbHUela+eZsZXjrstJwp
O3rBsjR2mRNW1lqdWOk0fGaLPd5l/mzdAH1Z9gBR8nOSj9FbXBo0uWNXWI9W5+kdjAwqESaw5gfx
Yb53xX+0lrxS13OYeE33XYEI2QaF4ZuHxnLaE2d7XtrwK4PQEAp0xrNI7IQlqK+YEP/wi9Lepi3H
P4Spzb3XYo/BP3yqGsadC1v+yc47NtLOic5O4tEUAER9DXpBj2Cd1Hy939C4xm5GOXKKfIeZTV5g
RRdu+fr1JzIo7UdizfynWmTyAGNzOdpO3rx3paYGm1qbLkHgjHcjSWFbg2KTWc9S+ZgeuJhpS4oG
riMFqoNGcYNLAgogcmbcHvhmwfAS9Zwmkhx3PmKZjPnZX3R18Euv+16nmi+QZrwi68iCKg/wOBQS
67UEisLRPjf5zOPUnlqvmu5zorf2X1Fq5OAt16mZZ9TEJt/LLemFNx5lnxpwW4VoaNWBoxq1fd8X
UFpB3Iz5Jl3oitC8ZDHoQYZEJjkbtTt46pRHILG5/83FuJF13LzT/EsPZp7RUQyWi2zbDod3ITUt
GcWwflPFS72HsTq6N4XS5q2HIORSZ2S4dYtH8ypakBev950BMX0PyM3g+K+Ll6ItlocEtxVl0gRS
hq0ByoHB8JimCGXWQ9Gv16TAy4NEdHngt5puazFw2WhShq7VLFe7sir8SLTiOgJMr2KOMLUXY7Ct
63TZ+y53gHZXsqUExvxQ4Cx6im1p7GQCTLAp0PdoAadxqoT5in552aNAaE+iWv9fcPLt1vInbljL
EfN14IXQkrfS26rRMF8Ty3MJINe5PJBiaD0mBsdrC1o1T+Ra8FvAFH4tlktTKeNucqC4bVeIzTut
RJJH2c6Hb9qerBtpjdF5SKL6HcD/dD+jdcPwkvAIk73LbHLU0TlqrPo9Fx2iMAwbQIi6oTBRDRSR
9UhxwDeskIj2cAcwwoQB2oWDrFL7hrql/a7lenlLs8jPPXyl69DV9uOYkxf89cDaXZ78Xi5l864C
6C1s5d1wLvQcnTQt1xJ/htG9LzNuCpOOnFb8O9mm+YXF96P3uiFMrJTSQzc/KzOQwBQiQBBDG51N
za+jdcTDPvEERv0s6VhUmDHagRjS2p+vDi3wa1MO0Rt2JzKPF3+xLrAGrbvK8aOzV6xMdk3l423h
ccuDiRGz2zAWJSR5vQtGwPI3+BdoKQBAHMI8QNy3GWXPXSIW8yM2swb/d2DUaESwgQh8H9G2pjpF
Acj6KF2uFPkpxvNCQfBLRA1fWOr1HmxNMpmFB7wXkRm+joDMkqMhiGcm1p6yL/CT4TPwqZNDCozp
tavT6ccEqs/cdBzIW1qpTbxLOFawMzYZsUjdUN0mo+6fU3MMfm/g6/1K6wn1sJcUmF1GdiY3HdV+
9sQMwQPYwWm1WL1lvudVONagEGCDpMG9LeCAzn+0n/+rX/83+nUHkTjDzP9Zv/5Uc9b4P9t3DuL/
4gf+8x/+ww+M6NxF7eAhPEd/C+vmn1oHpmq/majkHYprohH+hZvj/YY4wmZQBJrQpVX2T6mDS05J
wBFDAC38z0XstvO3+a0piaq34SejpOJ0Bl39XwdD8MUrHUXKuDCxGh5AzALZXzEO5Qp0ECvawaR3
9eh84R5W8IO1IiBWwvw2zmv0wisgAjZYie5XB8f8ix8RQZCi3AUqQbZVAqA9fowb50gbaNhEK4KC
HeZlhEkxrnAKBNhYdlZghfWFruiAWMgVZ9F9kS3QutlPKDETOs82UQpOXN6649A9V45MeKa0u51x
+v5O1NJmhp2RISh2Go36KeofOFjqx2wFbajRoxHnrPgNiB39uW4CwmRRRTPyW0EdeE9SUCQVnIrR
J28qxqqfrWgPd4V86A7cR5bXi7+NuZwg7cAPbsYVDQKXHUqI+CKGoI2cj8uKEaGmpgIHj3VjtsGx
KOzHxgQ64mjwIyUcEvqexKStaJI4AFKSr7gSpYJor00QJtww9S5YsSZqBZzw9Ics4C3UD12S5woG
RXiGOJfIi8NohaT0rmj2kx1P1XH6oqh4K1CFEIUn5VVqO87JC7wW+9tYev5pcsXwVq1IlmSFs5iz
U0e3DUJDk8zBJG2pAdlnzMtQkcr4BFImJ1U3HevA+JkXE4B+uoS9QWcNkCBJ2lXdUft5nBM2hss+
QGcVBqFyqgA8oWR3HAPssWCROI0fShtWK8qH6UA+VIXeFQXO3VSuEBShaaPNqVGSdR0snYNIL069
G4TcZphZZA7ujJzW9IaJDp0D7K/5rTGnJL1sjXKaYtxOqHjb9gq5FkIdslMwG4KMNmfohAybYSIB
8iyANPhEONqR99gupJ4RG8wSbWSs7JwWs/Eh0nl5qBThi/EdNtxhGPeQAU14mu7StBq3E40B/9to
9p35ZAyzH5BTTQpuybkuLnuw9SaygSnlAyBONqcr+/rcqD3d84p81sK0vtdBMz0gWl9KKgLas3s7
tbI6zI142qZQq6PQQD0oSSYZjJck91KSfBeBDVH75XTNGdqTjizV71D1VjYig7JH2LsGsdfCU7QX
kcK/RF6Vl7dGNttWWDazebcMoz/sC6ZUUYgwDoOURQLAmZIkOSKeNXa4ix3GQkE/PzEmEKRVGu30
PacdQZdH+c4PlMOEz8VlfKeSWd35Kg3oXTUERiYYxQ98APNKD9DblbECpFMVyzGdq+be71rQM5Oa
GGYozmwbbGIdcc6SnQwFTsQR0odv0QiD7Zpub76JCRbZWgbZOhvTwu+ghyUvN5nnaNL6BnK6E7PT
j/0gqnsVNPFBIFNPrMG7k+StP0dFM12aorG9jTLi5e1rlf/vhvhvNkQ8Rasa73/eEK+kdNZwRP9q
6PrzH/1D+Cd/Y6T752Zns6n9gyDnkSrL1B9ZBv/xHym0JvAL9iV0UAExAs765n/q/RwfXIZrf4lh
TMLYkDP8B+w4z1lFSn8ZNyNxgYcBc5vn0hHglP8mYmrZd1SvYoJ8eF4VsBnkEnrjkhEzbxrfHd4I
+haAn7z6kQHjmkuH7UUF5NeEleyznSVS8ynTOCt3rT3ldwzyWE98g2ARKdrDJFPnrKuelhUCQrXF
ih44mzqSLj32fBR7kp+Ty1CMNaGBkl2itoubJmnz+5WBdChNmRwiMGMHF5+upqQ3ou2KszgsadKe
cqh4175jJ1pQthmh04NrhWoR2Je5sP3vmK+hkonSzsKJqBckWv1wyAyb7khVR4/1lzcNuc906mlt
5Uv9LvIC939O93/TToHeYV4DzjX40x4imH83RhNLnuVL1LaUJ+bJmiP3CFHJ+DliYv8lVnEumuzg
xM7UfsYTaB8IYY11nyZNf9CO0z66ncvghAkSNUue0TylKfqZmaTAZx7ZOzy8Di0PIo1umdrGl65Z
jJ/Vl1jYamrQn4uqTnOqXgeWlcdsXGN+kmD4ljRaP0mpp3JTGEv7seYnvbZGjtOk93DA+n7M/Gup
JOjuoAKuDiJ3Y9PmOSVwqgS6e6t9VzNG4dB2x+8+xRNXuio+6Jfpo1xSvbcQRP9czL64Sc32zlhi
75y3ujm30bJcmqgYQhLTV59v0Nnb1k9nIjbn3m75UeP8VaaSgwxXqefVSqPb251TXGYgcmFblz5f
dJJoA62ov7FSzzhmAEsOk4qKZ5IRku+5ThmhjlXjwCCa6po2tpdZW0x9JjNPmhIE5nADnlQLG6p3
5dKFfW2u/giLZLNklY4U8Uw/b+yoR4vFIfOcJvT4K81s2FbNtMLD8Yeh3c+S6j71gVC4ahY3cVsz
61lmZqdtUF4bbWQ3tuFYMz3Z0TU2NSaDmbDIJn6JxELfVfax+4HjGhZC3nj+QRSkItbEGx2Xhvn9
dhAuygSOOLdL6cmHOMIRhc5+1ySMfnAIbv3Wu2XrGX5WwslPZgt+YMwMI9kOXT8fAM1Nl2XRPqoJ
qSssgVn0apRUbOdI2Srb4ZKzflcjCoVNYo4A/nARRbthzq03LYuoCuNK9Q9WXyk6qqYdygY3V04t
NWCg0fNjR6pOcHSdHC5CG8j6mEJR5FjqTO6KtkpWi5DlvGBSSy6KbLWP3lcmWyoI1DgU7VIcoSEG
PzJhiisOxNk8gQeWzxAIa0Z4meDM5sIsLLZN3NX7IKnKdyC28huW9Q/DHJut37TO1er9+dPjaKa4
J6y62kVBVJHb23dWWLSZFvxYVfuGIp+xxyyy5hREtd6WBjnOHMM8eQM4UW8b3T4ArZfuhi1b71rT
Uys20d0FEJbD0hb+Zhk46k9uk27dBHPbMmp1zmtLnOn+roducJZcBxfJPkCTbNMSPR0yBDIPA4a6
R3swvEOdmng8Dakjd+eK1nyz80RSTbCiDraJREFWZUp0vW6KE6AwdQv0A5Iz0hD9yCjD5cKKMuPA
kUFCVBajNFa0qD9FnGqDMDDG5scgZgJzXJDpR2USMbPxzLm7c6G2/Kw9QYnfWdlwPyt6sxGTAQna
0JbtRtID2GPzUT/8cR4/FRG7b7NbWVenQ8i202MX0N/3yGQNJejMu2SWUb4N7Kbc+snI+cQ2RkQI
ZvMU53BFg1yOF+xXKXlpudr6kLjcBiQX+KHiQa6YrmEFdmUruqu2XHWYoHnFldcfuhXwlSI9H6jb
U7hfxooAkxoYmFqxYMsXIWywgIXVKzbMrFeCGBkQ2d1kWivi0i2QUmDDbccm/Y5uEP7YLFz6gK8B
pRjux+QPUBnSJ6hl0RQZGxs36p2VkU6G9qR99MvCfPQtEd+zLHIMD/LlNMTjC+VR9agg5T/2VheB
OEmz6GUkB+aVc2CAakBU4zmBnv0SVD6exW7ksQrSploH4+U98mciUWOGMzrNXU7+ZRfWw2LvMq+N
cfKw5YVTOae3vS37vQqEysiVLfGFSFO/9n5u0P/GArPpYI7zqGO23Fht5+Nf4eMvk7axJ1YRA4JF
R09u0PonuC/jc9wbAXxqiKOfDvCku8qI+5LWpqrBis8Rma9N87Rwj9N2L8yfTaogwc6td/ji3k2R
Wn4w659qPJ4I6mOrmPeZi+dqsjTaI434Idce61GfWgv0yEWc0A3VIcyTe1UQc+4p27mLasR4LLJ5
9Ij+5gQTxL62Ux0TJb3AnJ2Dnjk3mXSH9Xo+t/Xa3suW9shyIQ6Zao27PEd9srPt0Xso5JL8Hmmi
+9LJGI1NqyYGBZ6p5/O8iPnBzpH/y1nK02D13Usb1eX9YHnDkefJnzfA+FuGVUKW/EQxZJRlns2t
pgE5Yg6W6mEkHzzd0MKXIWl51i7xUvPIPNZlToRObRFyOnVsjDBV7PG2ksFPs07lT6tzCIn3Ok+9
pn2R/DDHKD91eNgOZCUYAVlhLDXcfgmOHnLhvdAxTYHZOsvvI1mPP7DOIWzRlv9m12lwZ88VT16y
LpqEKNmgXsfRW3Zta9v1UzXLVxILSY0bkiBpLqpTK7gBJFYSEn8m31Ijyp8IDujUvd8CfEFuRN7i
ZvF9FDplBh/xxvZ1yj4mrcpE7IJgqQnZ+Lnytb1Q4SCMm6QTkDmcoFBppC/ChIi7KETb8bDAkcku
+osf1q8oMa9xvPTd/iKMEU5oert2ZCZGLqFPGedfLWhLgz7AG0rN/swtazMCEUNFhOe7ipY3zr6U
UrlR/cyGCemS7sUzwurmTPzjs6rEvCsdVZ6E6hpQWQOY93p69IsFlG//y02T90z7b4gh+w9iwjhB
0KKJN53XvwlpZEdMAMW9sord6JbGDT+OvQnaJj9VuVa/nMUbQLo1Ks83o3ICUt36tDi2yKweHG/M
57Dv3QRdX4ue4jnwe0xmi00PHsUJTdZ69ErjD3H5f0uof1NCofx2acD9LyXUe1p9/rV++vNf/Fk/
+f5v5AzTRXRsNMf0tNEk/1lCCes3eA9IvD3gg8zC/1JHid9cL0A8LEC0fFVS/6yjXCxVnhC4Ckwy
xsBmiP+ojvrXKgrxPhlkNBSBbKxEjL+n7s7SgZo9r66kaEcMiDdf2bb+cjXu/61PiLdYW6keYcyr
mwZ31r92K5GlrwNnuRwHapN8CSgRqk3gc0n/ec3/P96Fa/lXsTz9vmnyEt5FVD8640c9fWrv39iQ
1pf4S8X5/3yRv/lVRFq7yIF4i36Bv/Mwp0SKfPzv3wK85N9sXG4Q4JN3KW4plSE8/d3Itu6kWTyo
9ugZVfuzxlIy7hgy2Dtm5cvRi/Likb2AiUzRM/brzH4/dc60owtrHeZpGA9p07YvNnmuVshoMNu2
WjzYXjmQpzlM442kvkFx0JpbR0/DnhoDQJNpM9EVZZ/RG0aeJzKRXTp/QLJbNz/KoNlmQdDRaLSG
Y5+1tDpVYjLdxnmbGyK5Fk0zE9Dc19CGgIP5bc+I0SzExYRg8maUwJ6Buc3J1VSGz0yogM5gIrZM
DG+46LUBt8knXWzBaPQ3vSyXb5RuxTZpgExlQv307VLgXyidXWCoYduJpTy4dnfj5rb+NlWz+zBG
sIgMdHC72mkzRqeQ3orecvddzklDTI11DVAN7TLHnUiinIZHR2hehCHTjVgy2HKwrmY0lJ11jeig
HmsER2Fc98lDlA3jT6nL+WFYnB79SDQBmBygjcAZ/BzZfl4pkdtsWyJA/obhwXO242J9ti05GSHS
fP3LUO5EKGtW6Bdpp0GCtUu7D8Ng8kLrBcYZdq2R/ugNWm9ac7PngxqI9A1kdocEUzcud/QGBeD0
zsqRgWmBqzkzbgHOfeoOp/M46/73bJm+uYv9KYHRv002BGW3N9JX0kSykzkjJt20iQLZNLqf65Sd
3JZRLZwioIeQbMmP4EWLfulNXq+c+BzZJPJzKb3uJTUoHYpJiUsZ9AlTvjEib7oFuILLGeqynZ3i
yhm2sm3aPaQG8wAig0xYj+Kd4/kc7QLKKYb7BbFzHkLgIwIN3sBe/FCpDDBYGeQUztnwRL++f9IQ
hNGvAKlCWpFyvIrxjJsEHZ+xyrgb16j73YAb5S6QXM6NcqxoW6IP3TIuEbd6lFl2ymy/JDpDgXue
yGumgdoyYQWxESP4X3s/pAdPG7rJ3p1N/MwhiWPzYDE5+IhA38PHt43o1h4lutU8QSa/8hP6TYZ4
8G5OWns7x7NPoHXsnqlv1I0yGBxb5TKcfNn495HhGAfs/s69sMr4ZnS9l6hUzFzhMWBq9wYTRTei
Jsp+DQShn0BAgzaNPjSuBtgwY63p5fbGoUZi/svN8uAXkjkdduThXlpCHT4SxkS7uFeutaEAMHdG
pyUaU7lejwjk9tZapt8LOthZ2A1TsUti/A9WZ83HksS+myKO3Wf0CMsumgNqGwe49CEQVUtApju+
BnY0gPfwkgezVCY0NeDhW7efkAqIdED8ySTup5XDu1dQvW57ZxrfW8eprlUfyzsAIM4zwgJ06kBS
jN2kLO/yFW0FLW7Zx00b3BOWUr3TRRsf2pko8ylL9O3UKf/GmhjRM+TwLnmDssNS3hBSqvlPDWgK
+GPzcmRqHwyhZ9q8gbLWxauwI/3QLqaoNosZ5RTZhPVt8RTVcIRGk/OYT+ZQwqzkSbVDRhve747W
wCKUG2V34NbAEOFLb98QmHTgBBWX265Jqa+9BMCC6apLMfpwMJJaJc8LU+R4Ew/QE3hoEn+bSbpB
2BSWM582fratejkDXFUX9MhzWHhRqsLMr8wMbkDGLI4Twx4OgY/LIJYnr5PoLtAnAJpeeUZJnsLZ
8x3uCZSHSGcot3bm3LanP5QqieIMjK3f2DEvI+vFNgsZDpHmOkz1Mm1slBf3VdGqD3jaNB/rIX8o
ahcRbWbOoWYV+JGmctnVgxBHDWLkU5gIOmycbJcvHcZImlCwCTBuvXd0FD7A3mBiKNAD/OokrpsZ
etydJOnm/PXnduV7hD+gt8CJRjj04olVWYNLmiJd7wbynOYd9/DC1dXB1rViyv6vt8RPgFoLZdcA
Kc9GD+AUq1iPeOjvYtLdlnk6f+q2DqMO+DTXL4mQ3cX245oi9pa5Sf0ypCXFo+yrAyqfiJGIZcLM
WiHy9BtCc1oFBHX/zrBXnwgNDBhV9Jm3DaKcEmpcT9hzO9xKhKwoYBIg8K0l06ufw0WxDE1DAgX+
RCS7pMIMEDidAHoAMUfOVp6Jq0BfIGpfQ1LMluWoq4YPbE7+cpQp8iMLBtDrl/sjdVe115dF3GuC
6iBGn9be0vS8LUUxwcJL0FE+I5KBqGA8N6mPTZTwWr0LnIUSSCCt6smj+/1LZZKvCpiy9b1LRAwE
wocOa7SKgYSoyAgOnEbbE3O2/GWkf3moKoW2Sa0kPpdZYaBRK8VfmrR1s+skqmojQ5/FGBVNj4Uc
o5ZIvBN0avdOO7vvVqmKXdVwg0PpyGm64+PCGAp93zWrz4w9/ISXpHvucn954UaK7/3EiO901sun
KqM/6LsY0tO2qQ5B6/ivmgOp3vSpHd0UYxXPf6hJ7MiY7glYXx4Wwxw+GWYa30rRRKjCND3TwPD/
/J1yPUW/ZnKedpPrjHvTbaxbNFbGcwyg/R66DGrlwu53hjelb1XfBQ+yHqa9AbLrO8129/vQGu73
zGvmW3Yqf5+oxNjOacpcsnHRJUZRfV1io32sk7La2S11r5E70+3XVdcebp+6CyiIc3NPPHXNxtdl
F8CoFjl3dBqIuR/X3HNzD3rWvAh02btKZvpUztrZNaq0kKCZLg+xIDCxR5tzFwVWfMJGhJT7615e
AgvnoOEGnCsC97IE6XQLXpJM9kLEoeUCC9rQXMnvTJWVJx+16quMYD7pCLvuhh6PjQrA5edfgCDk
XY2KSSGqi0FwliHmx4Ql0FqlTtio8nm6ZVGYT3YTVXd0QhdA0aTKo01q5hcTv6C3IQYg2y10qBDy
Ee1YkE+y6XOR3Tl5AjjFQVDn9iW6xHEBsyZGtIptM90psvfqjUjA6wlVI3ciZ42sMXr2UboJLJqN
7E3DCQwoIJPI7RDV66JiRiOq+rnH3brvWXA4AyEyv0AR1HcKKSJSSh/eeIIobB4JKYMxOe5BCADi
VnllPHemiWonKAdOzC7xPgW40dCMOx5N7TUZkLHV7x0MChVxM6BssqrixUS+uSsb1G6OTK2PL4OV
W2KaccfR/JhlgChrSmuHifnqQ8SJsmPwa6Ocx0PY5kKcfcQFu0DPLWkpNvIrZx4w35XSB7CiB9yB
wFOd5YHoOJ55wynQo0X8j2foxrTbmFgPN3QuiPXgT+8zByjOpl4AM9MhdQ+p6Swn6Db+YVTpYf1G
d2vgeoigKrm1ltRmbpCWT4wSALAG2CCW5otxSlLe2ie1f8wkQGbsDeqJkAYMuHlqXFDh3/cAAxkG
oG2mWf8ZKC0YmNBB7JHXFxl0ZL5Gvi1MYss2JMG3+yBo/y97Z7IcOZJl2V9JqT1CACjGRW1shHGe
6eQGQqc7MQOKefj6PmBkdjuNJmYdta5FhmSED0oACoXqe/ee268BGetb30eLTsmnOcdQWGE5LVV7
zQ4xRPxukpQUjjc6+qZlUlvZu50r7+gIrwf6Jxt96LN531bugA/pC3uKHvoinJaVowQeq9WWG9FR
vjVyYumBvOHM/6HkyCmaGLvMIqpLf+X0cyqUQMSsOnDSc1Ma69SmcL4AdGWwq9ItgxUb24H0L2Ue
BktgvfnailLc4oXo2u0EgPo1aDvTSwYN++DYDh25sVNxL2FtTDRe1BKDnh6eh7Elb/I8kT/IXMwX
fNUz0EMSgX9n4zrVsN4B0KV+03bkreqRm2yNNGw9BSkAZoOgNKDnVtNNHFjVvSTZZI2ryMZTMFQU
rKmBrQebUrZfheGWYmK86cqEI7maRmeADenhaE35062m7FwDAu9BITTdatUXgeiRnbdDkpzX+U+2
99rLYOXOpea2jbqsdLO47cqYPg4Nxf7Gn+ABNyPK1Zg8wE3jYLPSs4xGVALVCwhSxVNcAXf6aYRG
2S87wouuDa2Jb3OzKTYtmJUXq2J/Rak11K9Gx21e4CHaZwkItGd/tFUfhnwrntT5C2mRmoiM1gnR
t+TteRg5xmWY1c0z6D7To5bbn6Vm0J33ypi8N7RuceZpPFxEXP5NZ8vsV1YTE9VZGuG1dVzA7QK7
eKYlunFRNUh0LRgkNCO73OCsWxvtelQa41HkdrbGM6ShjQWadVUo4++ks50fOiGWGIUmZxkE6bTB
ABov4w6JBnu8CXl2mOECaZWB/EOKzedxnMZeLLuUfrINPTnla3s2cqrAmi6mRa85q4Am5wpO1YOS
onXPETAFrPKoJFRnlbto4RNNPlciFqvEQiu6gKNTwstjZ7wtXCt7AO5cXDRTqu+AQbOVWgcZnivw
X4l0WsUTda9kHsclS/k9NikutB6ZFw0m54lieU7sGUYJTjH9Qlci/xGFZUMB3U5v2CrGb4Mmise4
TMofspWDvZUKmKxF5JcRyqnC9M1FkrClMZQmvyUfoyfNc9Y9JpUFa6ut+vis09vfwJfxBVDeuRhc
Jz8X7Gzfc6lay5H8tZWlJFdT0QE/rIWSbhtsjPQpYzI0OwmnHR5Wc4UzKLii7m8tYiON67XjmCUm
Qsq2dRXrd7z/v8j8geTGN81dtIC9cGA005lb1O1NAqAF3HAaPg1VLfhwUfzW8sy/raUofgpFvhpx
3b/itLyfWjyiGxst50pBxkmNfmJll4qg/Nym99TNYaHiOa3uTJWQiSWY/I0VtuoGvVCL5jQ0wMoV
xhbksn2hJxbCzaRq6R1kLmfTWA9+ImslZZiVcGEKBZZnMNgPHHX4nuB6fvUzW6U16D4bg9Gfq1LT
t/wtOiCOsrk3IuMX3UnA10UzQsrxu02XYKjjvo3xpetO/barbO4YAihyqOOhor7CTRG+/Wx3ofEQ
dQVgznaWFVVo6PqcPdUYWu7GpI3XiFC/4QzyxIKcXA9ysihS4z1o+sZaS8JH3wqXVMoUsa2nlCK+
sgYfc5CpcIrRaW144GeRq3V9Ts5kHbDDVW6zLGt2jTNmt36kWDd2qQYAVcnw1MJOfGgBuR1F3Mt1
1UbBmU8g2nVuDuFFaibmvSGxS+KOnsi8e4lz6JshgbgZy+26kwLCYTOot77fWiR5QSoomqTYjiDx
7htW3EU7wNxzofVvq7SlWTSRnWqr1pkIinHb9NVrSKfYi4OQLxYbwTMWUsXLhNtdsJUj1MDACFYH
ZcL+t8g/2ibuolXayJ8CoMBL7TQtzqIA9/rPQo1j9VyTrX/u9HOYg4KP1whq/aHVlWGkWaqbLh3t
KtCXRV6Ww0JUhTQ3ZT5MHM3CCsvOWKUPeUasbWaO7jaMZkIIJawHrNW/iR6Hzj2xValKUZ2pU/9u
m5wazBTtJZsqDkklLqVJQ5KfRS489FrzFMxuZ7z/JpFb1lOGS29p+MTusStMV5Q73ms9wh1Cnwzr
FN/Xse+9drDebI4gQzxdmJV6yx7KonJGmUhpHe3dcNP+3ChMsbZKQSElIcEu8DWvcxX/I7SEeUP8
r35bD+4H8cnKU8Cr96jrNlB4sy5KNPfVgHzFQeai5GaxVckdheZa5iurCbqFA+jgBPzkexUUKJht
Wq7huJpDM/trOdeC3Zl3ilN5vUH9rlMoxkWyYE6WW87j2Ql6xbfKrjOP5mqAQVD0Ejj7dTR7MIcG
umPljUWA8QP2Aqxye1ingUxXxyu8h4YCYWW7CILRFu9TMtTakpQfNS4sdIKHITb4ZMSddqk2ZPEd
H2qWAX+pV3NVmg4KDE7XHCK0dw+1hEZ7Khgqr/L2IkmbxLOqmC0nkxeN6pBtyeIa/2mRnEHnnCJB
Hc6ECbM3qBn5mq4UNPfGhLuo429dWGgQcKryj+PXt48GcuahdPRnwKPQZFt7CrCExX+SUqm8bAzF
HGxBV00pnXiX6FQ0U8ofN3LUqCCmU3jZpsNwYvx5VuzfX10I+jcoxFG77c2aMTBkqCZB7TmZQgE+
5wKtsn88fpF7MjfaAcRbIQF3ZlYWmBf969QcND4XjatXXtNQurX7kF1EYAv/KtXVyZtGFM1dS35e
UbFJPj70ofkjkLjrqkvzBq3d16Fd0xi0QBfVXCQZ8bWapLnFcyHYVtS0XODfMxdj2Pjr48POM2T/
tgpDZW/Ok9UhCn4dVtSuVdgRw6I2SM+0rHsk848uv8WsdW3m7/HhDr2QyPLh9RDu5Whi7wYHValq
eAwZrm7MB3RIWw7/AGxJCD2xynwD9Xw+SxecHCdwFhp1/4aiffr7WRIM37/Xn3Nz9NtfQ8PcVOpU
g8GCh85yJvUtRJrmNT2l+OOXe2jSIr7Ei4BXwXC+vTS2aCb4IhXN98C4NWEMX8qAJfb4KIduKo9w
bl+pND73iX0GnJvWyFh6PleBLkbCaLjjgNQqliee36ELMjAjYbmgKg/47Ot0SYY2hw3fs6D2Jazr
vni1nOL1+OWcGmNvUSOuXrf4UKP90JvLyaq2hpOdomjtmTo+X3TmH1B1pqJpf5scbuz0ld5UnmTv
ehm0qn6mFzmNsq6PfpD0xZTMO3XONIR8LXAQAwU7taJ9f/XQd4Bxwt6iupQu9lY0w5RYkguXVF2N
nM8GWvuSzMTyIlUIRYFXkK/+6X2d9SSO67KPgu+4/+6VHKscsqtKL8sHNijWeAtw3T6xlfg+FwU9
dFMzKe3qmO/3XnA3QJFeJWnpkUYJDF8W0RJOyYUd08s4fjkHRuIiHNMGHgwryd6bJm4dReh2nMJj
acMJqdTnKO4eZBU/HR/nwGPSbKTUGs+KlcuYF+4/0JSWzBLhVnbhTZG6rtI3xUnxueSzifPs+Ejf
UykcIjD+GGrvG0uNypppMOCHOpfCfW4EqJTtBv8NsTDrssunxxH/0dak/1GtSoPqvlrhc0OFq6yb
SW/WMd3frV5TRssqQQE8MzCRmk4szxoxAK/ow+nSTzkHGmVO4NlscuZc1axTvYkb5DjpcNUXLRXs
ERbgkjIbEHgrmk5cqLEXs8jrxxecvp7KC6DBw9lbm8nCVYSLDAusV9g8Y2UiT6tz7kbLit6yqSW3
M03pn6a4G+FnbuxkpGYyWDsL1lBk0pnV5sAkvX3MfA5GjUWCVJHdyR5Rtk9hKSuScl0DnkDNSay2
XyFyxCZY4PvsSEkms65dDkZhePS2+1XTwP1inHhFCc++SIja4wFjMRlYr1du0C8nG9uJwXfV5W7p
c+LXVKs/7dksenwGHJhrOoxQFBx8s9jy7801P+tKdh8j9yUmJbojP3PHUx+8IK4Abwy+6L3jA37f
8AgB9tAwoQJBBd7f8MA5wb0js8JznYYkgajI1iXA6QtLyGbrO0FzEVJ6fSARIjg/PvKB15fdnDon
0KBZ+XbmqAKcO2Fr5RDJxvFHZ/XaK0YV7QH4Zfz7+FAHLhKBB6sRtQ7+t791pC/KeXNscy/rKroi
QGIqyrWoecHXVDurTiJnWdNgHxe9TtH++OAHrpN9lbDohXMyQGfydfmwkwDNICmFXu0XER67/CGY
+ZFOPFb/eBtgzIuUBhSQ4xWpW19HogZUBzgKUw+M0fM45v1KdzAUVakQ/3iast1AMIUwitOHug92
lCSztEHXpugKWiTIFoVXEV+jTrQIz7J+/dMbaKiCC8N/AtXV3P9sBVEqczS9XJaZCU/BXVLQQ6Sn
U6ezmv/4YN9fQAZja8PWwKShvf/5KtGGhFabcWWK8RAK5Rnk1a94EA9Bb53Yg8zv8tedN0NxLLW4
NNb8T8LjH98VYuuxfikIMUCdrQW1Urcw04WddhP2CwhBc6bh8Ys7POKnbXYWwO1jjxVD2g6Qw8Qr
te4sceVbMWoPokpKCAIkaoatfnF8wO9zH8sQtPHPXQcj7s1IE4IzRD878ZS2PRvTzjOM5Dqy1BPD
fN8wzsNwNBQztFbfLyh0jjpEEX+11yn6DJkkDEEOfBGPX8z3VYRRNJXNBnhY6xv4E+rOkMexlniV
oKJFpQefevth59ZtXDY01J1pKcbixCqpf/9SMioLB8wMcnC/MVSJXYcqElJMcE3YmH3qUobLZQK6
wqVLP+U0sesRdfACCFcSLokbkrS9VHvbDGWwS+kjb3q2RdNolneY+yGWSsnmYN4WlDPYBFmc9ejq
gGOhjJknfvqDDwaYMIcfDe/E/oNBkhASGsyrS3U6X8ejG58pA3XO4w/m4CxDV0lJibizb1vOzCj5
jARF6uWNTepC0Xlqoj04dnNq13LghTVdi70t65DFGfbr+mraqchlmbMQDVIgZPHD3WCpw+b41Rxa
gSy2ACBdOZRz776OMoFCH1DsJ4iHoOR09mw6MVs4HXX6s4tJcjg+3KGbxyVBErZn7vr+CRWepkVS
DK/omPi/5ntXRdZtVvnPx4c59PLMYWt4B6nfgHX+elVDneTaVPDyECHo3CSjRovNN3/RbCk2VWA6
730KtZtqYX3iU3VozUMRa7CvplL27dBD6VQNhdElHoG/102uQGUh6jp+kvF0z3J9YrRDE55jj85k
nz2X+3cTwCoSUnCIWJtkssV6ZhO5COnt+M3UDs0RbqKt8zkSyJz31lW31YfWpOTuOW2vPkVErOLd
QUTnx6JL6c3Z/WOsOQXOtqa7Lsc8uTJTW2xDB03nBBiLxnIsV1qJdQPmC3qMto1PnW4/uQj73zfH
5oTNmylM9j9fH3nl16rZZxlfm8GgTdCUb1rjFsSYOvUusp3ndqA6YcuQJkYuoqek7+odNojXEEXH
ZM1Etz4zdlSR3IU1KpKoLa7j+I08cB/pabMFtW0Br3T/g5ja/AzRwHa7z6dfctKajYpfqyCi1C3G
t+NjHZiI2qfG2JwLtey6v94OHaKtakBY9CZf+6VScFhlpvpWj9iTbDePAT9ZzYkdxoGXTtPo2LGj
4Yv1bYvdVek4VEHB5cXmjzAKIPyi2qGPUU0LAfHtsaz6OVU177x/fq0Yk925IsUGcX+lNDD7R5VT
YwlEHwo3rKIqnd5SjQ+g5QVPo4M14/iIh54kWzbKAPipXZayvbtr0W2sjbLwFDXAuad1qBJy0dz2
gFS9jAT1E+MdWDa5QPZQgg8bm8W9NzDzKyOMCm7t0AV0LjCbrdSyKFcCRez/ZCgXoqZjsWF09j+i
0jaiJss5omlukd8Q5IbBy26s86jVtBPL16E5KnihZh/CXOnfm6MdkjjcWCVnlax9gBT82zTLh7Tm
+UVBeesAyvznXx8WCFXXMc7TPtl/AbWBXpteT7mHnQaNn93fVW21ktQBTgx0YGGmpK6aQlB5xsYx
P88/NttyggCm+hwB08B8DoZh60zlw/EpaAr+jr0F78sYe3MCm1ESGwZjIOjXFpig5VmNGexOby3A
1Ck22ShQ4Tf0lSTBIA4ei76Cd2LSq22JhaL416KGJJl4WRigVfAOa+seoJsXiaY6mwwjvNXdgKyo
EeqTL9V8m9WIszjdjktksJgwTYcmhToAQNNmQjpJWdrdBArkSc01GL1FVhMf35W++xlicE0YFLvD
YgZOkjV4HQ52uMVQOO5SE4lmJ8LsslOqzsPN+RAVSb3kDiebjFpRtQgRCnqIE7NF0U9y7behiVg4
6S8KQ0SQ0+N2c/z2HpqbfMVtjXki5uSjr08QnHLZjBZzE5nwWzk0b7jerg2hbERWAOojAfH4eIfe
cPbcbPYo39MQ2hvPDMe8FMGYe8QBzjWnq15Pdn2Tn9i8fm+rzSlKNLbYm1Cmc/eGAWIcimpwcw8R
+a2UUYVm0CGS/ZEm9CWCFFz5+mtQ5SeOTOLwuFRpuaMcrvc3ZK4ErS97k5pIMU4/wgGTIXZn5Raj
i5qu0cxwxinNDMZp0pWrlMBbmts5C3mpdzsTlb8Z98pOqC2m1MbIlz7CUCac3NLvpIPtxj9NjZDD
fkAKCOY6WLn4Gqm92NMq0Px7PYEN6kxmuYCmZkCsmUB+xfw84GTlbzwf2k38GZA3gPXC0cV/zyZz
GdZNvLbhoT6Vwjz1KA49cQtnMZwNygxCm2/ZH2tEBJcly5Mu9wglGOkuLcZe3SYaRKbjM+vQWvTH
OPsbo052WVqA0vccc05jo96wJC54fXyQQx9EiwQQ+gr020g6+noxaqlLuBVV7tF0cpbjjEFTya5M
SPUM6/GE6ezgYNQrObO4uNv2t71WxWKUp7wrSmgRUAyMFYL4BgUoWuomOnH7Di0EFmV/vhZY9r5t
ftNxFFaMisqr4uqWkAVrCX35uUir302EZiG0TtxJ7dC8mHveHGCRENj7fZqplin3l31aPKQQiidd
O3Omqt/p1OJXhVBCz5DlnEnvirtI9UNvDDA1BAR9XTqBk2xc0A+PNpYg7Bl+ANzn+JM++OOxIFJG
on5L+/rrk+4Hv1bACGReX8rfwg2eQr27TwU6kv/BOLbDSZHj72yZ+zpO3SljKNHjeZxEJdWc5i0f
lX4F7+bEh/TQtnWOy6LEMv/D3nsPBWZn00d76TV4RsIaiWuf31aFSdikdp0W5UOWuicKFYcm8B9D
7m9Y48lI0eiB3gDysiUK9rdrpIjbrbOq6E6cOcSh+cuJdI7GIsKPWtLX+9jMganTYGcsM/r42oTy
o49cawle21lSvg2WM3OUoHE1X0fl7DVQtFmZWSH6A5f+jBM/fPZL+A6tjmMBVxs+o7Cp7oPJJVIs
T1MCrWtnM9i98+SYrJpA8msEU0o9EKc9lzYL/UPtdewsMFYHqb7GRXuFFEdiNi9+R07XL7JRROs2
G/V7ieiajz2gqOOz6dBdcGenLiUO5u1+AzZNZV3n+BNm2MluaiZt0ajGsynNc2qmz0009icGPPSI
Z2cWQhmbYuv+bZexFowlmyEvKuGYdrKt5OaTeCoCgN1gMdCkH7/ET+3E3oYQxQzGdZ3XhWPm3pMO
lDGlS5pmnpVN7jLsW+veCDXwN2I0z8MiTZ/IWIBtaqCc/LQLOCF416ydAN4j6dsq8CPCE7fhwH1n
szFboAmc5Dixd1ByrdGBrSxSjzgaYx1Wo3WZh2wbx7ion2MC6Tx0kT9P3IgDRUxUCVR95lXb/nb2
DQZzkn7HG11PPlJWERgbBKliU/tVvSXHTSyYKSgnTaJVSF1fjvRkcF4Yp+LNxIG1cvaFI8cgh49G
m/713VORRlhZE2X4lmNBa2T2NUQCnC7a6tw8587YuyZGjYzFiuSDlCKypmT0UWEUdze96NXNOPog
bI05s7KZ1B9si/NtCO1qdkwlG0R95hZJ/u8RMTZLdrc2rDhcoxU2VpWSN15olfZ6CFt75QTnepGI
+0TkwzWvLSa0kRfhOXRa9yxV7ReVoIETB/ND108HDA+6PXfo9wtHlNvitG4E158mwz3RR2hRrSF6
jjQl3Bx/6IeGQniN1gA3Op+NvQ0ITScyDufPEvSacCVLZ3bzDTI5c8M0eD4+1udz23/T5uqv4PTK
Z3D/+J8rVtr2WcThoAPwvQCQN2L2mgxt68uiI7cp1c61QvVvmgFgh64rwa3eKLCQRSq3MgcR/fkD
/S++4QS+YRZ1/vHoVm/N279+f4bmXr1lv//7v1ZR3VTRe/Ov4uNfSxCY2c+IMtrfv2P367//6+8/
/2+Wgw3LQXXptCCcoqSq/YHDs+2/WMHQkFPasmaxHKv9v6F4wvlrDsYjmo3SDGoNi1/6DxSPEFzq
KJTf0IPREeaX/gEU79ukI0fXVJHqo9wxwS3PV/7neWHEMKSF46DiZoF2E3ykgXI9AH/Gvb/K2d5n
kXpWq0RF++0PLVEgLdWrP27ezd8T/M9Q2E9955/zfv4RBL0IgRaLqsaM4/3zRygomEvHmQOsQHRd
tc59hJlyMbU15OSScHaMmSmoGfw4wN63bG3zda+/GB0+pnCVS0IVoZUTIeBsGpf0Slu7KkOKFYbZ
LTQZr5SOfAZVvlOO4DfhGcgxUiWvca2v5/87AqQyovGxngqSAmhEgfk2Xc8oODIvggQwkdrlCK7V
pmgXSlULAquSlvU/pwSIvIPZwPLjLDICwcnZPQ9assBBz94aDRfg4ImNHAWmUewsREOGSp1cGEp7
m4Z5CzsTLT0krVvLfdHohNWB/TbV/ASgbRauhakDXA1pEDhiwnVbAJwiMLtqk7tB8R/isq/WSZ2t
iZV5bVFGbIkEvwlq+zzW8p8TwiXohEsKl+nWwkS/6OEjkKCYv2eDwZEwhoU1qv07+pxVYLX1RV73
JgwquZRWzWATXXBxHWTs5f53Wfn/idRG7euwkfm/hJJv68rlG0kjb/mvP9eSf/+h/ywm5hybPetN
VKpU1BxZFv4DhnH/4lCDnJGO/9w+5Ev2n7XE/Ytlgg+ma8wVARQy/28tsf/iiELVhpXEAFHHL/2D
tYTBv5QOeY8tum+sTirqvG+S+FyF85GFCTyVQDMnwlaN/AKZyPiYaQPOy8A8RVeZv757C4dNbCQb
YX7y740qEqrCRpms0RsGTtGq0mEZtvpo+8dDOLQ+fR+FNXqWxJvsuL7tuRsEAF1phoM3Npgoe30o
b5MCfmBkG3KtKj2EW3hvK6OMlTtwgsPj8eGJq/72A9D9mCHhhqPzjPerayDeAPOPduMVqZUORLWF
0ya1QwgL6K8uBj2szgbMP/UWexWBa5I8rzkvK+IAViPeuCdyDP5jQTAQtTj4WItAw+noTH2ygXHF
78VUmoHmBKXZLQYJcwBAQQ2OHyfP+EHBMrkTsUPmHC5HL2RZXfq2VRIOZpY/gBSM2zmoEopYoI0U
Uku2TAv6OJOnloP2wEdRXlWELT1AUMGoLUDQ9FYt35yMTwv2sW78CGuuqMvT7ilt83Fbx0N+4WuQ
UDD8OtqyL/T8IvRVumrRKF/IRecP9kPkXtQkC0Aotfw7tyM/EWakVIsdtyrPlgHx49rSZ08ntjox
oeQG2Cz5uEb1h7EY4fgPRXhtYvii2uuiXcWcim3PjqrbIu1YzLvZ+xU3NtE9FoLDSQwR9c2sXxEh
Xp0lrV7ekgzin6H0G7YWWK5diXpxrYmme4qJ/Hkq48m65+noa4R2pG3qRAu2cMTex4LQ88DmEBX1
+fiIHr54adWJJ1OyjfOsmdpj90QoiCZ3LyxNibwSFPNHj+32Ua34IyOgzGcL39eFPwTGDiuw9tAS
h/YcN31+ATHUvcgyzkgrNy6NeGFkmAIXVjupOBtSua4BmIIX7fQ1UOnkTlohJjoCOaGrFNW74fOv
QYLueBmAWwk8Ys7wsBlt+T7UvM6O0oxbK2rTXeHwcEdb9quhjcmiqQW+kbVqEYEu8bpTECWq0CYm
batofnIXoAwmFi4sr8j3NklfDLrfiTqSf4p/n5K8qrJoaMVrNJTdE13U6dItO/4qEY5bmbEl1gau
2O0VeeUn88uulOa1EqgdSnGuxTJid9G4YbbscClmiy7Mu9/kMI/bMdKN68DgSfhoUhdGLkfgmcLI
iFJoua8JQSd26prLAUsXsYADYSU4Nn3/zlL98h1Ny3SZ9+H4qLM/35Lhh7e5KpMNqW/NLzW2tIeI
6IZVOFtENYV7Wwc8x7idb/U8RcHNd7/HiqufsE8GxFDxJAwLaxqIyPGjQvX2kga2f5bWyUuv1C2R
tVV2HTgfRDyp3QJYugUD38/0XVibrzBMyh86XrinQGdusoVIoq2O2XplGOkrMNyOlDpbkvpsMinn
8I0h5EHBaWg2fmnIa0kU5bXb9OZ1O/raQx7V8qU1reIVLyyz1Ya6Uel+8SowqJ3HYF7uB2eOmlRi
Ej6cvC/eAkIwUA+LUcHo5Sarz4tzQl6CuqiVu2GUebMa2AZd0vypnyXVvbuxaDTSN6lUkC6oAa9I
42xp9WrkNYVugzfwh2gLfIEY6tQCfW5kSQtUMXTKH1oEPwAQiY0dTQcp2ljwIvRnejpaYr10Rd43
71HVGi8RRs8k8KD85wbq7UnJ1+h3+/ZyLHvfPOsD0Rp3oB4w/RvD+KjBGlkWVhuCdDUH1MhA/jbM
Q5NwLnp95FwODUtTm1+1hasvMBy7Z4aS3DRqrdwWanqnmO2VkckMtKtt3k7E8yxMm5TBygxIK/Sv
iOZiv0jrwAv0KdxlevJYo4dYt3PcZmuMPyOH7Fuja38loZ7tlDx4Jww73IUTbeZca+VFkXX9OjW7
gRC/oPmlYWNfB1F9PjSlv8HEoAEBSdyVNlbglmyTzRxW8StjMgh4cmU3LivoBFbsnCkJTOooLXO4
y65f7pDzYX5QBpLXVCxXWZTQ6sjS9COQEymptCZIiawNeK5GfjfmdrTWM8U9j4ECXdL56zHC8sJC
ktDOoxH7S+s6AdHuPEhd69SdSlikl9nwCmQjnHXRK/pSCofXMp/JSSr6Z13J1PPejFyvDbR7kRHA
QM22vtByV6RrnXv/Xsu+t5Ym1S4E0RPPkHpG03kQAsj81nqigX2Sv2oy4XJdbZGGuxrNF9cCO+BD
Vx39+l0UfbsNzIBvHh9wZ4NBvQOijF48zq3yDtWHhlM+qTeIQcOB3r4CztsZXh3C4xe9SIbzfJgd
i2mSvGB+LOylNVjj1o06Es0QyjgrYq4RrXWG4OApaDFrOgF5rSnsHe0LXV2NLCIwVhKp17A2wYQY
aS3PIYiC09FVfYcUq16JMOStqtdE+JSLnDouMEvNPJNWNTxOvYiX1YxEobft9elKdEpxplXW9CZT
1aSIn00PMpYFlI/a9YbJdHdZ6483bOGnVee3QH4zaSwtPcVEaiXdIu2DZF0bwri1id9gczCLmYIK
wIIqnU2pdLRu53Dk3hTjynBF/MO2Augb6thvDH/E7O12yqYEjoT+PrtNNYVvOcy5XRSJQSwQZK8C
JXCfgHdp2zRixluiCHdON3CU7H3jsqChQExnr9wRa+1caeUE9tSpcM4bpgs+qbSq7LcRlFe4muwL
Fy6stTT6nnDBFDkq2r8wuZT1pO0gSWMgj0KrOk8nX7y0sT0aC9vsUf3rfVqfzyxbh2SJWP0tMSin
KwO547BSY7XbTWVJZESmVNtWS82XPm0joplBE18YTVC/ZyK2CDuujY7GvpZrgfmCxVjFiJnUOPOL
HHGbMuTEdIRm97OItWLZpP28L5DlLU7edIUHKCfio8uic2WY7QAAD2Kb6ZeFO2w51YVb1oWBcJ9+
xKIvzAjugePXyzgqzOtR9yNvCnP5U5ekMC0rUq/nZ0PE0LxFimPBd2jOw47NOr9wybpgcZbNL4e4
WkkLlsrcRk1qPjiYCsYPynMEW42KfydpZvIOEPR9Yfuq9FeBOQcbhVFGHKg0ryeoNncKRF0uNxLh
pk2iBHIBDeZlxiYvXBnWIH8OsqVpHqLhgiXC1xm3RXn29+arjHTtAQZF/UvCBXRWugkueaFlc5F6
GEeCHSJp3Q9JybZs3jDCy+mMZBWHerqjH5hfpABlPEOtST0vehbjKg7iRSYJ6FyFZs3H3c0K5S4P
3PYp0kXAOZWdRm5a8iqYPn8Kt4RnPNOS/JJolIVJhPZHQ1GD+Gab7YlbltoNy2D+S0iL4ppCFABf
bdLkrYCFaJFV/DgzymYbakr7FEbEZy20UnHypZpV4zbIrPFc7UgsB7Pfr4LZZl6w2XpBvp4t63He
/mJKfLGbIYVyxCVQL0bPmQ3jB/6laDtMfkEAe+QSrdcDyhpNXyWWWYoULyr03uOHCO3QGUJDa8d5
CbkPKxBnjD/awpVO0GgQKI0XKHp5RiRBOm+H7XxZxmUF6Gve3ovSWXU8mNd6rD6LP9zstjFPHWg+
6zlfj21//ySklBCd9s1k3BaiyEjEajyAt3W4xNloXtsW6ThBA9JqNNgQhi53tgnU4cYOcHPEtQm/
pCleAz9nYuaiPCPuZTzPe1n+AGtrXAObGx57dtybEzduXw8zNwpniydSIkSf38zJFIUTu1NE7SnR
HJhdk/c3Sl40VYvDa6Vl1vEpYoJpHTMeBhlmJr5Tc2Zz8RZL9s02jK/L4z/UZ5vn6x0UlP6IlJpb
yMa3VnUAjUB3I2zEGThhsUQKNVvt2/Ji6pVuW1VtuGJpntYj9WuyJ1p2ULHk8GqH82uKkJQsBaM8
w6kFmdQ3i18ySu1bxwpgKDTwHX2lKspF2ZinRJ+0aL4dZpGvOrOcntrmrEn5OhHNVsEpMOK9HGBK
LEc7kvG6zNxxUxCUzr3E8OGGwv7o9LHzYPEFG0XT3/B+PYP8EmhY2C4pZh+sWgw/l12lGy+dhNcT
TSI5V9VMvOpIyAccqjLvzkHjOIQ9aslKNcj3i4hK3FLRir3AheGoaiEsiiFjv0qszwUbSIIyBzGe
I4vrV1WJLaSYVxgdJuZdF1TWvWLa40dGrRKfem4QiCBq1liM5ux7+yLdtS0L2ByWwUHaobtiBAm/
CTY4M6QCczeX+9irE1FU3ubYQVhToHesDLB/P1ySIBeGGtFfI3VyrQ++vEooD1/ELQGenUbJAVRb
9xSAg8e8ZerpayWIBzlr0snuLkq/D7hJERHkylA3w9oMklBdtlL4KVgYErEgIcELVWpjxQXl+lPh
w4GsSwGByKZCGOwStjQrf5r/g8+G3l+pNT3gpR+hI++Q2xI1gnCiBkoiBsnXmD19pYZxTjp2yBUH
uVtQ0jQ5keCcZ7YNGsTXkU0+x2kVszQHkdox6mcVotESdI25rE0F6FbmEuY4VBzcnNCQP8e4TTZV
1ETbtmN3pSY9M5KszGYV5lb71ETpq11xfpwGTb44fSqiVTXOye7zvXNnQsrZNM2trf/D3nntVo5k
a/qJWKA3wGAuyG20rbxSyhtCUmbSBF3QM57+fFRXzenqmtN9Gjg3AwxQFyWktA3JiFjrX79xUu0B
uxjrYHBw3AtrzPYxNPEq8p2+OPTker/PC5GM9mJQG5qFaYYsW7Gzer+9oxP1z4sEemYog71PUXXf
qpJeZsYk56DP7Eb92ttVaVAQe9KPU2SrYibPtpiGnaGS8oDBG10LwRYhtZN3X1rt8KIbg7kl/bF+
d4gG2KPrXU6NQfe8aSvFCdDXRvfNzAGUpCyaK8GwOLzENrtJH1f+xvJ7OqPYtvHpqAnqGG86wrQN
vJX4x15X8rOuZq5KqchVozsMncxWN9Bz5FE2ElTOZE6PEnM9QtOS7dJZPACg0pSvKCz8szEBs+BB
GpwTo2mP2eJVZxd3+T1UhmVf6aYTkeYxvsCwoL2flmzvrwgQBIjmWgrwIS+jTYbroH75rFK1zXzV
vBEedzfOXvNB0i3ttu4kt0Zl45I1pRBfbF600tbCef3Usx0AYvnwUluGL+s9sKbiYKxLdV73d12I
aUNOdvPdIWlqhxdWjksQVIDtMALjL2vzms06DXw62/Jer1ruTJ1TinydxU2VVBg/JOZyEpBVgfjb
CVzHwvkGYJVvV3jLSSX4Rs4j6NrXY4j5BoUESSL6zTxoy8VOQDysbpH3X4gPQWzFKnEtIhdzuhCn
vuKAH112Q2QGceHQJ85D7ML7WuEBLdG4DKg9vAjAkUu/Ankqw5xTNABCU5r+an21XBTLrYrmJaEY
mVZXYD8BvdKbWTzIZh1lUACTn4dYEII8LoxywLgOyzxucTLpxWHGrDSEDmQC4iiWIFwtILjYTYH/
8LWPmoHI6SDnEcQf05i2FTa0EQYfONsKnDkpeHRiNly4GoySQQTxBZSvyiLVL3T6SX7iQGJu8bNb
nisctcLYbIuDtoIrCGXZ1ujoyeBdkZo1jDn0KTVaQhIyXqk0AXukYouzDN7+C7/5OiRnAXZb1al9
0HTtp66rtVz2NG5fUVIsyQ7e5t8eTcLbd40NNET4YPxAYkZ1bmpTbFC++We/7+RrbYChEbQMpoYq
oDpPKNVuR5tOixzTns1dM7sfSGHr73NCsdPqMjhPHvtsPaVcwtSR7aeOPTFuQWIwGNqUQDku5XlP
mut5fZ5lu27D6CG7U9EVIJJB5lHzipY/5xBdTmv+x1O6ot7UJespQIP23fB5JGw1dD8GSeRrasTJ
rTc0wEbt+vzgiYbJGThk4fJ14hX9+ipv/QCEFBM58VBOIyiSzTHpwjJ9+jobjB4IePCT9NZjywd3
AkQdNce+9RLN4aiYAv8sCaK4yEWYTxMJfVFQYp/q1lTCNu1wlLq58dS42B5mZCweGFYWh6XQqzP2
1dXZMSliy/UeEIiDHRJc6mbXqprifDLYzexkfFkmyuRGgM/pdWE+aWXFZss+9orpZfOGMo9AYHgL
0RckOPaAlj7OkceEuAryESk/O3aTJqLNEbuEANadrGeKk55mp2Rhr3FSoKB1waJY9LH+XpgaAPUE
ZmxlMa1CT+Fs4aWyMQGXtxz2PDxf2+zscTVAjpZTW9vJN7r6pQkXs1z7iW4GhWqt+a4FtHluPKp2
jQChJRq7kYups72lI+tIBBanljs29HgWz5qmxw/zBF5mFnOZHSrbkceJMKt3b90q0YGa21ZY4haD
cDzF3cwB9cI22JIB50MKZMKabEGn0XotFxRhCBilN/z0SIvck2ZRhBUFnhVlAU0IOcXNBy6UlByy
U8UhJ6kjzJosvcU7+Ps4Olw15WnWwfRTlsoouAY9iVebapzkK1VJbocDE10OZb0OqFsGJ7uSYMwm
O0nKibqOqSCXcdmMAzecmSbenyaQ+tePXwtzKXOOGM0Y2k9n4kxtOFQOlernOwyvl12Z5hlB6jUL
OqOqTDyHTQYKQ3KLVhPmlnIydWlcRUc2eQve8+LXYKvaJdOdBvYLKPY6TNkwz36Y1ipgmSUtWWOq
YQ+QwDeeDl6RY1nl22+kcaR4gVHM9gAq28Eh2JcIyME/9nH/O336/zMg/gUDYlUp0yH+k1FlVlU/
u39IxP39r/4zBJAGhR4PVb6Fdu3vZpWB95tp+UwvfVQ9kNNd3uuPNMDgNyZ5dDc4QaFmcjz6g9+J
D7bFhDNAerd6bjm4Uzn/zrASFc8/tHbYlTA7RGu58k1XZfY/UB8sDtAS1rd+qnStTiWhnbarbaik
YpBjY262RO7xSC3WiEM9sdsG4DNYJhZtBTVTqbIqZHrQXVhcdlCDY+Tq26wK234xAlTdm6kzPqiZ
k+dy5rTPEtf5NlK4XYBb+zsF2yreZXWOiqjGseGSTPxjNLpz0Oy1PEWhS5bPCcsRdVPO2Nm3vfWh
TWBvJ52ZAui4a/bnMQecfbZEPHjnDtde6v3CnQgFs0trNfdHnl+Z3YxvYa2H9NQ7tQCpKNEtG6vV
rSj1rOENYdUE8DkwxbsIK+P8ki3CiJ3g3j6C1pduZJlVLeC2xdkzbBH8x1IqvKjN8tE9MHWmtqJh
fHTtwTx0Xp/uzTnHRz5Ytji/r1NImaECHU1zn5vZ08LWeOfmXpzf8CvWBUQsLhm6sMH3yJ3asIWq
su0N7X0WRC/4el5O1NKetgb7WFvMJYI5GtntNir1pEP0mNY9GHrhXMbAmbdGP3jGYQgCWZ96FcQv
qvS9x8Zz4qe2X0z/0Ma9pW3yrnEKjm6bxDlsVPPXkb0HvQrZwwK9AdegGUOJr+DRDeri1Dce13Io
8dLihIkZpC3LdKKeXUONkybdepmrHmSV2Jm+jzErvxEGKHTfwgE1+wlq4qQqssOXMcWbT+Y7f4lj
WCal+dooi2pcdZp6CgqvsMnDnbzsxtZ0v3jJWhRLz4xboAXAV6GCIWgXhLvr9uaQL3p3oMSo8EjJ
Cycz3pOODZI7hw+vg/5hW3Z2ZFIwXnHfnrazHuNlG1TGIRsVLpqxuwVrLSJBxHMeZSR4hXYtS8qB
oA/bATQjXE1OcJx0TIYQOFCCVDIHqjTvSRDdWjrmIRnai7O6BKtJhQSeXG2pJIIPzGxnMkc8Ue0q
V3TPZPrdz1ARwpa32SUkfRGTubwZ+oRZvZfFu3hcHnXMPok3gO0CipefZanph8YhB7mPpXkM4B6G
ojMg0WhIAEp7zjCQLurd5Nfgq8WiDrpkaZpuYT5jvf696n2mG0bihSQFaJGNreOurry+P0KUyA9d
Nn20dVscSeNLTtL1BpLoSvxxQAnwbo86uxl2tmq4Phqjk1IjTlBqZII2gD9YSac/HQ412lwGBnHd
ICvRqf3sFrgZLghAxrAkZxwukS0wuN7TvTz2mYZhe50Z4Wg6cWS3uXHHp89PubNobRjPfXOAKDX8
pJpYNj6msTuPxXaD5fRGeI2Fc7KCCCDloZqcR2kVD4RdnJUR74N2IFXTVE+Zi1Os3gVHL5keuoDy
hFi0Dcj9NgF5xkQ1jfzRfu6k3PvLfMkZAYEmDPOubQqM92MFZzS2X1yCslfL0G5jlMXPwqYdMKuJ
2AIsih8zDVmANAwy7SiPAIrYBDP/Yje4ZeekNON0HxghUgv7Hov8alvObRV5wTjxbDWwlLkf7t7s
yI7TiCG88dviU3mwHZmWBEesrvHOafHnwysmv6ZBn3P0w79kVRj3SSrvRyxhNZ8vperqOhNX+F6s
u5kYYg/KVd5pp6Yx7YfMlC4B4H0accPaXYO44c2T6Ss5MkxAzPlX2pfGTeJ1eDxlssB8eBWhaXFw
HAic3nZs6/c9ZskhmHJwELn3ELvt/TT2+o5twj/VuTZ5Efb1/Tf2lWFjjl48ho3V51dyNsdI9qLf
69yonV7L4eokTvpgzXNAZpz+oFqtx/8fS+jEJLImGG6XudzhGEogQ9542Gd0Dx0OgVyhFcLT8x1w
v8XHq+331M6AhlJOB4nBjzDwg8n7p6IS7s4sVfw4ienSaLKNZnyYnz0tf3YAvMhKHd87Fby6CTMn
5r08x0PD3L1g6mVOO8r6NdJuH5h5zFWU9tU0Ermf/PazwsZ267Squ4Hv/9TghsEDTPD2piTc8uTI
Sb+mhvUwBM256NIXV2CEbQJA6qhGQnbarasF3+1g6iLLdiKx7qWN5t/5nbXvsnx+mLl1BB2MyF7Z
Rv3vIk6M1wJHvE1reSw1zY5D0xsv3jJucbk+4sXT75xRmqeW0WYoR/L+IhgDaSSWwt8X86AOad3f
9A2OxFks9lTEWZQEKLAz5lYcZkWk4sAL/Qm4ASfzwf7EUb1fG1fNvy5Kt+/Tcm3avFZemAoR5jmN
ZG3kTvqBLYcdTeZwnjPJmTAVz4Y93lTM9YJRcbDmQbA12/6RZKCrzLzyk0hyrImW15zE3e3I93Fn
UYsIjn92GhfgqbY0djbYrBnRLqrrTAsN3hbLZjOo1Dg5mZPsFs1awm5IrLe4HhoCnQw8xbW2x/fW
J3AOw2Kruku0sWOa1wKr0AVHDfwSDErxrTcMo9lVQzOcTfCPKDPN5iYYdMYjlvacatN6PAOq1m4Q
ar5znXTUaRqho7d60ozzxl4Km/HfovLhoco1/xB0Qh3n0Xq2Z735QF+JBXtcEo+zI8eDNtIqDAS3
tl2DUHHOmpAUg0/ySu+M1Mui3p76h86p7qZK0yIpcA5eMAMWkLi71mp3eNPWR0bx3/wOCQuR8EeT
kPCtwdfbmOCm39le7ZuJQOL3XBntdkJqc8AajBTKekz3Li1X6OOsHpVkJWIlML6ReddtKx0mJo7F
4qWB/BAiRPF/uXgQbAanMUMntYp34uCXR2/SSPwb/DdLOE0Ej8Z7oTXMyN919cj00vwJEEkP50lf
if8Q6y1rrjezvS4iblgeMgKlgfUBBfKAj5e0sDTL/EfTio9F17yHIKjGb1Y34iw+pFeaNWezIJ0h
RKsxAEEzdNkRIfR22OhtceqUqmnqB5saoUouhlnc9CIWEWA0DdAQ1A8++B3Qsp8O9/AN/BvlufKb
poIbnEDnp7FDqgClNsiigNnmGbbNDyn8T3bnYicZemyIORqes9w4uZUV7JugXTbOpGXbuHE5IBD2
bHryS6IU388q0urcvFa04xHWK/KcGx2m9323nEt7Cm6m2piZJMpPAuSNiIyijDlbMxqPbJDdvLUG
Cyqq209pQbhv0u3s0hYcXp1WvUly504gb86uoBZ80afWWkAbCx+nS3uxSIuxjI+qcNwPnOOZp6s1
aCVOCZA2CgqGgWtu4ixDv8mYzy7HozesvOBB31SWeRvTqFis26qFgQZmuympPKIUal2SIjYywCJP
LdzdnSjH5BHD/L41LhRaUQnc2Qbq4JrTjzp23X1nYKtvB6Q09A20B1CNQ1zhNK9mJwg5KPfcuaOT
28QzZGOzKeo6B9Ucvo89qd4mnl1kDcQWlu51HLax5AwUNby6Clgibvqw8Y3ixuoxTkrbfDxWhLnF
rXXN09x6zmycJIvG9U9ZWtanvKdbFl7wuKh0V5AA94DCw97rxgfhkBRNOZBNXsbPRtKSlC3NTazZ
1gYMEO2204Y+LpvH1l2qrSdRVFU8eyWT6BA9hBHVWtVEmT1ufEK82FIAMaC4k9sq4UIokX6fAhzW
KPJ3JLZpJFY0z3PNrBtjrwbUuTxhubdscPAoN7QrOY+IxtAx8RrOxaI+1LX9EOCNsWfe+llUw3Pd
LJC5XOKuSnoVkzBWmI4Vo/GGYGObeG2rcdqL1hJA1yrNfIH6gll5UZbPc48zOw7YHHcL5qe5QXSB
VeNvSDAPIFBeYy1PPlwpm3kHOSmIsjrOfojW2BAbRWwMRMntXLiwoRGCu7MfP3tGcZbpYF9bO+ij
QVa/KICBgdJua+SqjlKNBN7ZHm9nBpgIsIbyubVzHMPtIdlJuwq2NqpVCm8fu1stLy4QzFYlrih3
cHjl1fXjD71r0RPjB7hPJzHfk76t7YLONaKl8Kh8jCa41Zv8Ws3LcIXbFZU14Qqqa0WY2vpyNWEi
adj74DJSW5BPxjH0Am86+5b3o6bngJHxZvrqPWkI5Ta64Uyru3AxxG4q1CH2xbhVmrYv0l/k6uJj
43b62ejy5kaK9g7DQUgvKVtkKv0I+E3fNQ0t7mi21h5+496sHSO08vzE6JRDNNePuvCfwWIQQWXq
ffaGz3hIPupa8PzU1v3QX7w6fiYomAAfWO/fNY1h0ADKCNylosTyzirwX/2m3rRBUO8FB2QIxQui
HyAiDuK6cbbt5j6HxxBpXa5H/UAgC0lviX4VcT1Roml38A9GPxTlrDgW8pivy2kgQ11r0h1a6O7Q
8gR/X1oihCGe4JM/LWFqmV0bTjasIlDf8q2oc6T4WWaU2M2Y6Fzn2ioo8urW28DlrO6n3uzx6Jol
FiSu2OeZlpCobjIIi2rRN2/mZGTwCEeHRqeRz9PgF4eRud2BylocAmJt9nZQ2btmUclp0gd3h9X2
09LCMEEoeRv4Q35XZZrxy8m64aTSzD1Cm2pvzGIRxwGizo6wtfbJrhaEkq35Th+fX0Rl0+Qn+q1S
CcnmXZ2crdmzogGi+AXhPHwahV+EVTNjzYle2JHLriGX8IC+GRjGyAL2Y2XZm2SG/VQSJkBcSr/a
0kPwqyw8ZG2swtwmJ7s4LeJb1+hd5FfLB+y1AETfA/ksuGIUtqS5oTLGNPyA/wIuH9N4Ncqa0qJL
0TKI4Ds0cmIwfc/a5GU6hlrjVJRCrdpMgpfvAuKLWTsJcQM8riV0I5MJI5KnqIbmvUth3R2oHQ9e
WeVRUZTjbpVvbdnRic4onWpbMGDNsVWgofIfhlyz97TDoC7WnL+NIiAIIbZ1ceG4XkURdAzXpQtO
qEv9sMH7YmOS5UdMURlpIy1IbZjy5C2dzgyvyG46QW5I25IHxKxfP/VC9seutn5JBcUwKIgoo78w
VXY12N23RP2Vd3nLbawFQ6pAQA8uiinSJs0I3TrrN0L62mmy87vMJARN1OUlcb2X2g+6PTW2RI+9
RnDP864y9D3GpyOpBA79DM4OKyuHl/IHM8yy/qeqm3u37i9LQ8pSu8QbxbgcpGENnrGqqASRD6c+
5euB+YP0R3o6sys7enyTojvfMpBxKFyW48RKjYaVqaMPPXukY7RwCseP0cs/oDpgZiTvmH7Oh6xb
zA1t5Ikt+gVpZAXpbd7SbvEkG3h+92M3hawG/YrDorn35wkoRXHwAtYf2sZ4WHLt4Oek0I8uQhUJ
7Y9mR1XfpK0BnUzT5O/Mwnhi73wwiU7kG439VnzFNvlTlLS0hL2mI5FjyAMqsDHijOhyyC8kc1Qf
VV8H93micSN9Zy8BuzfubKln37DvcJiDntoYJmM8fYdnnBfa5J8g66zhPLjMAKHRe/lTSdy4b8hr
p8yT8N13yzDJh3zvjXI/9P6vdp0l6H62bDEGIzOxDDYyryIjR3ak5Pir6XFEKRAbpVJLt9I2VzNh
LRImiTWF8sFLVB4km6oCD0gNRemSxwiZ87s2ZYOOuqF156hBEnLLDMQ8atT1TTgnGOVNI435KJeW
X+Ikb0YBJUpv5Lbq5qrdpL0Huu+eGsiZTA4iol5LijFRDDuQnARfxoEoF2V4khN6kcMZuwMsquFR
BiG60/aQFTK+89nV+rDujNYhs5C8M59YTOX2T5rtlt2u9DvQ/1YTUxtZRgrc5tInLGwf5pDtcjsw
JAN1rpETN+AOTE7184DI8qMTsyd6KP5BB2oRfgHR/9OY/f5nvar5uv+1vvAnxQX7XNr/7z//2P3t
5+RnvYp1/vTD9kvycz/8bJeHnx1xYn8IZ9bf/O/+4++iwX+Jxjv6v0Djuy7jP5xV/qQdMr7+7g88
3v8Nm7AV2McZ9HfQ/XftUGD8hlrH4eH9O9UQ//uH4lD/DaG1Rxgz8hMM2xz/3wHeAfn/kQKECSQz
LdhLKP4whuS7/T0XDUhYOgJ/uUOZQ/H3Egb2TGNZG6qE7uH0jDB7uUpWTKPnIDKYWtrhuIpAavrJ
Z6LSUZjUjMNBzgWeXGFgLJAFRGwyyMsYmXmL1ryREtkqE6ZkNqhTnHnLwNpoTIbOPboCD0IKn5JN
bkmxr7l+aQVgKlpDJLHk3rWpRbJkjsPUg1zzC9qc0Zw/TfPdFzv+S5IA4zc+1g5iAcwJmDHzMaH5
4KfcvOMLrXYIpZjCQXg6LMOSs+GnNjX1TbE0YKaPRqwG7ehTZRnUiJhI/BgTK3F3U+BR3epjnGTb
ckjmlqOG0OO3VA8WMsgY5vbpqe4t4VvhRE073UnTQ2HvJWSbXRWZXP6uxpswecCz393BWyyljWlT
qbObdmBXGy3VLSKh7PU3ExgL3uvcCkIWgS/dMIGfhNkCcbUiio3OSzbG5CvLjyDaG9jYhqUb654b
gnR/lGpJbkdvqbc1w3pQYm+RTQhm5L+qYe41dsVp3k6VhEjuKjzapjmEGsUUMZfj1aNs7CKhJ9ZN
4VoGdbhZbybyCF9brOv8oNiXbbmyb/1i7we7ph39HIMJl/OGqkDasrkjkMfkgWk8GKIDmXHaEsT3
I8GGzxxm4lVP8Y/yiiqNLAxkoj4Tzk+tmvMHH35UyDBWkrilBbsUsgaxRYH1BpGWgwfzvk3mtdUh
C6r+aMeYZRpG8ZAWubgf576qQk/D/biaJLqWyaUAqA5zsDzBccCyTQuC7sNZiQklZKPNTKd8EAme
3/rUlyePHCn0NzZAqMoKKmIYEVIz0n0y18GnC/m7oCls87tRc+V7MnL8UgSgiw0WnwOCSEvtCJ2H
v1r0Sr9vV4rqhGzhxTKLp1xrzDfyk5skggX3mRGV8eL6LCp7suwdR7p9SGhvAapn2EnW9DPGZONd
gSBug4Z4ICQzSf8OzLfNVUZ0QTrZoWim02inzm0humJnEWhNk5TE9U2b2OJQY9tzgRNPhJw5+FfD
q6Dom1N/CHIBPcNeAqr8mozPoU5urcmpb4RVWie0NPO1wBvppkwaB8uo1LhC9spfZZXmb9zRYj/P
g3VChlrcDFUFEw53k88m6YkAi9vEO2atpe6k0480NvBWywz2TBg3vkdV0ZdFqGlA5xqarQtBHdZ9
oHQXNj9L4qaY2xgI38+yY0XzeTsATJzH1sq+zZ3OfN7CMenSiDG79KmQT4MYpkdsEZqjJUgC1NCd
vYFq5i/t6PYnMoBwTQCwzolq8pS5M8q0vHP0ID7gjzLtcVdINnoe+LtWjs4vZ2zlHrn38m3OIXgA
SB7IByzhosUXxvMw6QZS0qevMVaVHMygOS1E8gBtWhSn9vBjqCYztAT+rToGcCH5hTXYXgfpM6u8
nZmSOadmV35AUR1OupyyXWEvWeRW9nSf17SeKUZrCK0H6z5epuV1qDP16cTGeM8FiW/nuhm+gcQb
0WhP5YZ10m/qcs7RHNj5vrFzF9RjqMUzHl/FntvOatFWcytPND/gW/d7BcW5A7jXrS2mDDZsqLa/
Q+pWmSCUpF/n5phCB3LMX8pMGaXobjzwKNPMADo8QW8aL2lc3jXghVezNpNXlK3FXhEfv4OZqY0h
pAz94mZCvwS9CK4aE7R7QuwHDgo8hM91bRT7oJhvCzk0UM5ZqMdhSOyNAuglwG3qKVyFkRybmrYi
8V1C/AarugwSuMaz2GpAPU+a6+RHU9rGo7sw5Ir0XiN6TrrLZ5pP5KyRJd1mFJ15ftMtnfxgYshw
LSfPdBbBNsaU+HtO23woOqfYS1z0now27x4S4rWuJpgczssSmgfeGPK5q4YAyNdTl5Hi8L2pB0a1
hjE9FFkNqsfq8c7VNC0/oCoSZSMS6ZB26UxHLSnHfdwZuNz1rXWEv1jt/EzKl8lxurvZoQeA66v2
Vjan95xszZsbDPWH31feryUTPQOPvkuwOUt+gEDkK2kGPK1vcNPzh9Myd87GM/QewI/PGQVaR7VO
7NgU6l0xvpNKbBTRaE4WvCWl5cfVJPkFd8J+W3tNfcC1J4sjx83FL7IW5Q7fH/nNT8jY3tp1Un5Y
SeLvKznHl8GI/dPoVxq0UdUe0sAHmhaQoBaT8w1ErS+uPekjt7lfdhdhEA894MuJ9bPWX+JeYyZl
CzDrwqObHKvhG+45bmg24LuM8BAvhp01DfdN0vlnRSTzT52c0iEMhozjOuAaE9Pda09p6rhvMsNO
dxYMWah7cdZfN22sZpWKMZHT/RqGVWVdMcjC8p8QmY3wi8Ug4d3x914PSMYzMWVWZAaaRCqBCexc
e/670BVOYpn1bg9dfdGSynn0AaRDQ5+t89QHNtvgYt5h7aNHUNwv6w08SoK49qofonGpslXIaV4G
v88PiUmebJtW9V2dmNaz5/fkj3oaUK6snb3m5gCJeAdsfaYwG5phEgJqqzkw0+ju0YfZn7DFSMc1
enIoh2kMHg0HYkAlO3Onp63x5MR5atMvNvadiCW8IXOcg/siQQ6GeriOJt06+3E7cdsJcobNAEyK
HuQY9Ka/NTJN/kzJaO5h/gIHx730bhhANVFXdEtUxUt316iiwT25kTfoPcybGaVZBEdIi6ZJBWof
G633jVrAfJqtIF8IkoQO7pfa8FaiZN7Fonl1ZOFttTy4t0w4tnw/vafumLCTMtnyiJzq8xRCVqsd
XOgPpE4Dm8Yc2lJ9Zk1bSuax8XQ0h3nj1BxvmE9CDEtsWppcOHcxtenOwK/0NEDIy5kut16+sTDR
zxm22cPVgoBP49u+4LlS3o4QN5ooZmS057yrdqNNQipo57LTMsO7MeGs3XqGN3MqeNkbBZoL4psD
asslvhmaPGaSLBAXegYC0YNTJEbEk13cQaiCK0BIbO6Enl5Tvo7dgmO3mB7ctiXOUVnTwdWX6hYU
giFlYbktD0fgAW2qFARSmHuB9PACAYZimkRmBtG9qU+Po14kz7qoi2fbpAYkvVDZEeMmeduIPjgp
sSaUJE58QKQHlyTRcwu+Q80JBmQcH7JhBK2ZEys/5j00C0ZqRjZQYgb1Db1f0v20ytzr8OIQ/WJA
F0BYco5HpBIzxGqSDJngulpnXQBJl2sgAWIDkSVRn8j5mFaT2iYU/q8KlDu33afEhYw/mNm1ygAd
C8s+lsIzviO/N8E5cAojyRmlple6r4YazcOCd344Tqm1kQOku8ZS722K0NLT7v0GQC+A0rcplAF5
UzKhqftq2utYG0UCffZMi3DKCqPcFnibclusHfJ7O6JTHTZWQXFDbCtE0sy6oON8QxoGVjsS2ZgI
UWyE8MECy4ILU07MAkrgAThSTVh7dnVkcm0xg/N3aVItRwYPt+limy9WWxUi8ueajG23ancGbg6R
0mYVxWKwNqpe6MHJy/EAUEKV5dbbopkzwCPEBHK+90HseLezmwqMOypxQact3jUM58yV8VL2nXvT
aPFyBMDWidItss2YTHak/JZjrkuzQ9Z4/m7pehU1HcKWxR6msKn75FppBSe7yJdbR+fLYWW5zVRf
0ic0bQ8YCNPi7zhk/xenhVX78SdZC0wwiBfM7tB4/dUUMY2BD7LBzw45Hq+UcDOK6Fb57NIOOodH
UuPlJ5ZiUEDhOoh/YUNDf/uXN8dmAXsMHzcaI1i71r9TSMHmYhKimuxgzGjgVY5bKaqY9NYXgXj4
59/zL74VDv0MdkDG2v36RFb++a0y2FDunEIcXXUJ1ZY1QrR2tST1z3/+Pn819+GNbM9ePcJ0lBr/
aGkp6mWBjeIlh6EBN07xRj24w5cePeshMAtE1WOQMhlf7PK98RI66klBIyYVYG2uma1V23/+kf56
i1e2nb1a4OJi9xf/xUHv/bSny0CWXqmLvkrprJxRI/4+wWJs9CRtP+dh5D6T9v636IP/aWTokn22
dVf/6v+MBX3hO/8JFP2/hB+Zvov95H/N5rz+/GjfO/H+J/Dob3/0O3gUOL9ZBp7TcDkdDPDs9fV+
B48AlX7DEm/1foGbubIy/w+X0/oNnRdMTxeRn4fJCM/5H1xO/d+BkOAJ/Xmxrv6HOnkPZD3pmOrx
wf68ggpr0AizTcezVapgTC9KtKYJZmzhwrJU59HL7IW2KhvBb9OBCRfJ9WJ6cvzWPXSqjx+L0o9V
WPHxL62Ru7fUEe55zkHAmClqSNO7gtmEabWQRVQ2vNpdWV5b35P5ZjSDYRf0fnY1Zx/SEXQ2hrYj
1h8NRp8RTBnr2qNHxSVFlzt99Ms7IfTqrscI8SGoXAD9DEnyC8zA6Whr8PvCGYXFK91a/ELQg2aG
0q+Dh4Kkg4fW7OnghTqgxJoZ5HnJnYuMZ9U8tA8cwfGOGsm9VTGCL22yelKAA8X4yRLR6BrzloRq
tukMVOFpgGjz7nklqXZdTYizrVxkI7Lp7kh+TL9J3BaWSP8P9s5kS27j6rqv8r0AtBCBfpqJ7JvK
KlZHTrBKRRb6Hgg0T/9v0JItkVrS77k9sCWTLDCRQMSNe8/ZpyRTwQiV3HqRIz45Vh09WKNNBrNu
Es+u6cV4bsJBnt26fWIzId8T5S1yHlMZHJOMan4suj5d62L8NSWoHiWISlENaSo+13GRpMy+rfZL
XMwDE3y+w6csTfKrO6hoq3XRfGxyFrNVBF7Rz5TrrJMCTwEFthbfpNeS1pqFdwyKki3KWDyrkUXb
HdvmXh/K4TwC1TrjR4lRI+U2BqV8mD5NXd1v09FLiVhL5Z3LhHs/se5eiKcezmZbTHvWTuONZl95
RK/RfYJ3mo3MqrR0U8gKUVATIRvFQN9fZlHr21o4ml8EWXGvdbrxqZvM7jNi5uxjYo99lKqPfTsd
i7sce9vVgFQQWnr3yr2qpjXrnnerWzd/NZpYbSmPCr+gKqNNls47rFEaGtRm/FoPbXtHjV6ek7Eb
1x7mtXqV8OBwYKPD9L4Y+po1tRN6MW02CkoXRv6AGovovmiVnq5sr+42E9k7q1wvmZIB2WGyb74p
qdxTwel0hw67upqNCNd9oTMmQXAPnDoEMSQ08mEVCQjnCmQ7vPnK3evKzr4lRZjcdGIdeabC+S7l
6FCtEivQ3hnzAncIwlZggRoAFa3Y+fpTEdsO/e8oOsYpezre6gSgW2a9MmHVXxrARWfbS/VNZLb9
JXYqixZhVat73DXzZxxwMFu1rBpPeA7CR/wQ1p1LO7Nxq3CnlFPcYr3tHugpyE1qGR2nBQUelmey
cFYWojusPB1CVbuFprhqkRsN4Njs4MDsOqC9IpqDNSVY0xEzUhoGI5ayFWeF/JllpLpNBR2qIqz1
jepzaxNrlX4hbpKCkWYVuR/gJDbUlvVdHubhXROZEsO/bXzJ4ozql3d7fGmDyKH4dvvpk22nRriu
iozIo0REe4ucxGM/K/qJueYMwVrBs1Fb4DT6XRIYqCs1q0jzq8bx5NkRBWdhxy4DnJd1DfGoiDnA
zXn5NRNAuVa9nY8XY3byia/GIvM9mRSx3KptvU1C3ETAIIoAQCMWCdEkSVHL7cg0B9WdW433MtPF
S9MGRb9m3NZU9TazS0sfLwRJuSNtXyPMqRy2jarC3IMtMNluSMujb/VPsKLkZD+FTl51D8TK9wqB
as7bfpwriaoZjhSa0MqH2JcOn5pkDN13jLFBVKA/z/TBespVMkAUdSsEG1titrrkK1ShSqQ0fkXT
sHGxuf2vDvjHORKwyb+rAy5lAe/6z2UAHgn+zG9lwPe9XuI6J6JK14VnYan4vQwQNmw6ZveGrS8R
MZIt+z+eDl3X+SWCtxFZUdn/pw4wfzFsgB54wnVriVEX/01dALbyh7qA4gSO5IKSJN8M5OYPdUHF
nB0u0oR3C72K4InPkTMMEQZTq7bTae/Aqi0YnIdYllaxUV1gfmnrjNHg1zZATcwUJZe40PSoHmHw
1MzMab/Z7zMAhQ2WNvK6of1M5xKVTPYSz2Z9LttZ/5oY4QjJoSdaeEXh4ix4KaWMXazZ5RN6cwdf
RO0pdUTY1gyXhpPaJurYI+hxLbqFyYZmwnFhLfqgW6FcOOs9lIhVU7kgXZJilj6z3i+ql81GosA4
mGqkLTwBE/9GajTD3O88Ys+lcN8wgUIiYNpRfAEIPhxodjl7jUySgyrzhFFsXIz3qtZ2MumlX0oP
a/1IsJKWdQjAwnL5W6H0fBmttloj2EOFOo3nyBOMBBa5pRBINUTQ+RApE5q9jtFY9JMKjgw0O5qW
w2vAbHnFN89d1ude3GIZW0dACO2trYbEPg3Csd65I5hwWy8JmkeykuZD15itZp6cJhzTTdKAsjMH
QCM7VvsIHtAohwtuNmgy2aI9EUIvtoiFcwUizoyiztiTgxSVNaSktFK9c2IIVaDcW4uWGoVBVJT2
CVUddGaYWAeRI5xW9P7I+bFJpxVAXNMDYbKOU2E+43RPSSMe2nYab8jctPGrVzhV8uGhePyAn0zn
8yoL4hYok9APbu0udkoAP07gvFaQZJbet6fOgHbSo430lhvVsOih7+qTQ4wGyNg0WXovRNls9Bjh
fBClw11LwuBKj+OExxIRlD9VKTB1KcD1J2kJHUift+BZ0l0KvU7E1fjQ2b2JbV/LpB979AXXWd2F
R9ftHHNtGtzttUzcYM+0CPVEBrX7AJa92dJqa99KWWXvsquFwUEff+uqqZchkxu4SPUw/uI3aD1x
bA3ksqYRZvQ1kInuzaL/EiWm6tZzaVq3JSnJokdRhYR8mPopTMx8i2lJ2ynDxPTC5S6M+KqdmMV4
X4ABWzRvbnJnisBZ5bU79KtU6ulp0ZsjGWFM6bupXRwU9dA17oIEtV2XmWfbTeZjQasNoYRO87WP
3vg74qXREVD3WXi1o5bmW2/aZ91x2tdoTIMvURN52xJ78w75krlJ67Q49sKpnpJ2vgK5su6XJ/uO
Yafuc9zAIFOLy5wgAcHs2q1do7Joq7Mpcgcq/aMkA+uutNLwNazi+dTUJnExKs32bYY4Y4rtcJck
Kt0FcUtgDuX1VzkQjgPHyfsUmhqzVcOlfE6d51nqd4WRYD9CWHxOZ2XRcai1fZK0w4tV40ReJelI
VRsb8jMkNuY9/TSXnNEz3XiA195vRNEaH5rjIgPtuBvbdE66Q99l7zYGffxZjPd8rZ8gyKbKNj9V
xjBGKJhV+W66U/iISDXUGaI31q+oLjFfYyviZ1TagdmcXNO50lZ1jwl50BFkpyPWIDdJEih6ybg1
itDdjxQxqwHUxlKAIM/qrFDwoPddfBJe1D/Sa0YBw/15bMf6nscasbKcYPhF2tpKA2+v4d90aZLV
ztFtNNgEoGncryNl7M3L3HivgrL46sS652c6tMpVlXMS3UylCR9LF7A9kocub9wDLr3RT3m6PwnA
RVSAwyQZIxjBeujQ/OiJ8KfRwgnkULVdk0yxsve68aXMQpICOCP64yDMxB912/psuYPnG6KaH8oR
1bTpNMML4k/6UEZSXmRWEdmqnPEd9hN+BGl0HyGCQo6CNUSvLGp3oymNV4nx5m4WsXengIFQTFrl
VmRhd5MIyE6k/eif6PnOKYMl4ku3ZdmGm7as9Te3Ij/KJLj5ITG1ssN6EGHVS3ptZdIY/UBVpu8L
VTifDejtGtG1jbeZWXLWUTcpe4URfPCLkpXfHZDCOq6yL7KewzVvpEG3V8insGay6A5WdCy9prrV
AmFZB+iYO+tF07d4arpPpDHVybqWAVxHfcpqFErobCmRbcpr+qxzM0392pT1N0iexoa2mYf5X5YX
7CvJGp5Dc56LcrjPHG3DAMm71Fie4hU2n4j629bSS6SL2kdfl3zJWoWXnUiOi1O52MAG0TIjA0v5
YIL+2iuXqV05BjFTmcDE5Aye4I5SNH3Jmd+8hG7R3JAdBhjQg/jUU8WvIlQLT6Ixpw3BgsluQoa0
CTgKMnAs2sg3+bQMZzh4dQeKfIXHx+mfTKi7lM+cCX2N4dCa1gPcAT3SObE5yOkcNyiPxaCh487T
YTpZyZSn67jB7+2WpsF97IZXc0Q/aCkMThh66ODj0ZmPIhb2u+Tna+syKOJb2EUDqizde5lmi/Ox
ObPRuyB0F2xHG28ZcNpn4DjVIzTHhoO31dDeCAM3Nn13GM99XTZbZAR9sf5fcfz/RWd2qD7/rjh+
iMqv3/7v0P5EaP7XH/ytQnbEL/RaJf0Cm8SMxeP87wqZX+J4zZwSMRXpDX/ok8lf+BMC7TF9BlOn
B/6f+pgfR6trqbQXcdbvGrPfeunI0xCvoU77i946VMs/18bE1dNS1+mZmSZ/L+PH6JsaBV6TI65m
yWUlS6ao/IQgtYs3oesRSC+t1yFX6kL3K14lffVKyJx20AcG1mXPgCKfo8Wsb+b3nsqLGwlbzyDL
MAVVGW7W0hxcf160To0AZGEyhNkmEwMLyB/XKlPo8EdxS8ahefOM/AKU/GJow45pc+B3jYVKZMih
j6seQGgTf/R6H19z7uO6dqoCZHvJi6shmByRL65ifT6Vnn6zRWuAHx3eyhFlkZU2m8lE8dN08UeL
VscHyT4t+TBXxxh3A82FdRUWH17KgFWoh2CEjWHGODxlemFjvZkJ3moMCoi9tNUYxW9T1ZV+ydDQ
6tJjpsR76div9dRuywyGKaxrgwwbMKONa6/wAnmbsl2aihjIRGe8pip7c/RZECE1POhNelnuQJcD
2jPT7COpCg3gXJdsjQzxg5EPKSRFWD+MEx9DY3hwi9Feu9IOD03mvQ9B6u1EZJIAS83cy/IwE7aB
kLjlxug6Aur4KKNeMqAcH+1oehgq8zUy0mM4Zm9NnbyVs3VFnt/YK9tsNyYfaDDjD/xBNzPju5qM
DitQhZfGTI+z2TPVwluCeRwBHmJ/hsARE9TAalBJSJ0suXQxRmgKi3WF/PU7Z8SM8rde4D3Qpxkj
3cLRWK5VQdffMHq9Da1+6yS9k2g+CRdMnqb0U+WUGtCK6MPI+G2WiC8pxE3Jl7OnCYpoGt4ppeX0
TIsTbk9nZ1S52LexsJMbFLuJH3nmfG7Qa5AB99yYdYCOf3zMdcsfp2IgmqzpfFLr3+BheBtcn3Sq
5pOSYYxBpMFHWTuv8aj/6tbGnTfEAiKt2E5o/Gerb/b1qB5nBBfkIHY8qMY+zPmONJzZ67RTmBkQ
F8LxjTYDvSW6dMI4eow+UX53HW7WHNlOqz8XoXj3jAHHMz5Y7N3ZUTjqsW76R3PMPnIdWQcFFgeq
fHw0AiaTaYwMI5Ml+7qtRWshcNF/v++isK+kKLyWdZFsOVlfK8t0tt3y5/icZJMgzRsM+xX52rRH
Qj9jjhqvldSqL/RQvbWTRBPwm0DdGzaPXTaGwXqq8WROXqf2Nf5KZBWWOrS0Tw+j0rS7NJoy3ANV
flcQW49EIFPHPMK1JLXMeO9E+2VSjX0WblqFPDVlXBMSk0YooL0c9i04puEtcEoKERpLmb1LiOZ8
TovgOR81G8O1iUUZBwGeiSi4mkUK1Aw+TTpmmzGyp/UM3avqpgb19BgJvyHUmv45ibBHt+ySle3U
10yLbgXS0A0b83Op0c5EE23RsrPexmLCvFpILFcwFTaIB+lKoo+vZs/e5nGOZ3cqg5voOMCG5GJz
rpDvpcDL3dZ5tYqUjldTiq3hlHxvE68AuUbBqg6E7o/SdO9M3el3I1jK1ZQ6r45mX3skCIdANR/a
0JxMO/2H/O5lNvjHGSkYf+kQ/QELHiWu82NmK5NDs08GDGOmwtxkIFuCcT5eY6u+kMlr/8NElp3n
p6t5bGhAm9AOg+vg1/8wFPXMoS9sGGB7nJelXwiMmJkRcYRhQf/DZvoX+9OPg0E+19K0gVmk62gU
vu9ef7jS4EBNTsi52UOHevMCVsNlOU4o49fYSdvywD/p27+/Jo2sHz+dwWHL4cQlvOV///zpQqPw
IpeeJ2R/K9pYrXrEH5NRuuIt1RADLJ83yzjjtSyAf39p4wf4CLsxn5ccds6hSDidH8N+ONUPczK5
S0ptgxOmzN3bBJ1rWS5OOADSve6N70OL241MaXVM0H5gjSoW5Q8iNA5dYTGf+lCx6xrW3vNybc1A
YCPdAeMdy7dr08fC/YqpKLkUdrPNLfUw5uGzbkU5RgiToBVaXwsqfmehgvkc0p9bmy7Lw99/0r94
hJj36oTj2gKt94+RZTKLQbWS2bKPJG7PUr/p3nzL56b+hzu69B5/+jZNmn+UVgtB5qdQsEG4I7/I
s+pl5gHPzG0SsbnRMxbhwvYSv3XTSxcKaMVqujmdnt9DZON0N4cftWJdXkqVJKWAoFl0gtcUILbu
HzXPvhqN2kUuy71Vge8KQ2r7epTja2hJeJKhBE0XTxw89KZ9KNLxeWzY9pGsmMcOvvdmsLvyZBbx
RxAjTCvSjG9xdMsdXquPoJyf3bDfzl3L5l0Z+2iy9lFU4FbHyY/pcTyliLvWsp9vyKuNlZT8bM/V
vjRWOq0dQY3191/YX6wwiAZcBP8M6KXl/vDOw5IqMeAYhNoNSI8pJ0ZWNgzS9ooB4/7vr7X0Y39Y
zQwL+xnfFjNi68dUykZOMcATMjetVD2YbXzMy39aML+/ST9cw7EFZ6vlvz26wn9+y+OoRuqo68W+
9FS1bWOcZGYwo/CQ70BDp12H0CCV5t7T5HUIPEguRXbUxuAFdeevOF6LlcyRdbtZYuyZU7DJeqxO
1ZRfhAg/ZnvgXBjE6R791cwojARZshzacxbbG+VWT27H/223sNER4k7rzKJuEYRErGuvrraykThb
vVru+rHqVrqMP6yCR7CO04sa02NqhdPatRMKVDFQ/YpqXRRRvFZ691AWEpmXMf9DjKT5F28s3wX5
YwSsETT9oz9jGXmOJIIUe5FxUFAIVdYxM90FXcpnjrgDMeWWn03uNYe4vA7ahoacyO+6hGc5SBFJ
0+/cDsE8rDpblD6a5tchqQwgJM68dKKu8IpsPGYWcA+Z+FbDSlRBEPOdZHqmsfo+t/oKn8in0aA6
9Go+cEOIBHC754lCDG9WVO1QY+28angILbtfJQ3Pp1mx8MEsxLeq0cqBNu3tpDU/e1Wj/gHB+xcv
CXvG8h+xRH9/V978cbsKazyFAzG7g1v4lDjjyhn465h6jwg9/IdvRIgf5hrLbuGyC7Os0al2f3on
a9OYjAXaum9kW5B40uL9DJJjwE7lCb6fueSRnHEIYNFlmUoSKsAwu9gpBSCeUXtVFh5u7lzVG89m
5hcToIfiyMWKJc6acu8yDxZL5FHtj0Vp+EYF/DyZH8ZsOuXOshnzmIVG+oZ+mip1AFgyI/3sC9h9
pVxTrgJ4SFwwPdb1+/FyNkfDjy1+o9fQ/tY6/kQ1qG0V9B3Wty46jO54+34ICmCu+kOX0lnph8eY
aFGavyFuoJqjnjUPUJtoUk4mrUFDPcpU3GotPtKbrFcCYk9cpJO//IMGdJ38kOWBrHom62bTbpbX
qB2ta+kMj3a4HCCsVON9woSX1VRLepBcRlgIvlPxuxvNeq0TkA8FuKEzIvz3Bv07OC2OCll8iZmB
rr2RUtzMzFcmCQ+4KmBjldZeFflRU8lxzrEmNSEvcNdlRw7FuzxgZ4kBi+NEmp/tobtkwvoSMYo+
psK6Ahr0EbFO6+VghPqZgKG6KU/oX65ZZ77KBg/93y+59l+83tQ6eLD0RR0GS+3P62E20XKWpkWO
pTO9IxV4aHX2PcUxC0RC4i/11/ejdtl5Aoswld73d76Iuu004OhEYfNe1Lnhp12RbDyyJ1zcEw6S
V+gtUrrFxhv7aZ+JVuOAhvtoBRNrUxdZ+F5rmXepGg+CX8i+2M1wZgvW8vXsMEvRWGOSbnpWBuWW
3hjV2tbjfj2GKDCgqF4xQ50k+2FklHwhTAoOTkKHWbGCIpN5aFyOpF6fXVTfP5hWD5Mws8dNDInR
r4f5lEfDI6AxvCKCMAmrnN7tFlk25tUHh9PBPo3tq2IT4ZDZPxpoY5ZqvnN+31//N37+p/HzEtj5
h2d1MUr+ZoD8V67i9dvwf/u3vEJ02nz7kxbtX3/y9xab/ouNe/DfrbLfBtCO/MWylqAznTYX5cvS
eft9AI16jbkwfj6yztjQlrHx70I0+YvtWfx2SIVIGVhj/5sm20/lDEUMWY4MnlFcuCji/vxqYVse
Mb9BEU2XCawxU6bTwHn+w035i5PST+/vchFOgCS98Tkh+P75Il2ptIpwSOCoqaxXo9POfuQoZ40/
qNv8/aV+OiBxKZPb4nD8c3Trx1TuMqfbn4TGvB9VzK6fxYzoJKZ4DsjwRMK42+fANli3LBMUMT7A
v7/8T7fTpelJs9JhQ+RL+1EnC0DKtQZb4hMohkeZOy8uZoa/v8TP+ziXsJYjNcIFjtQ/FLtNo029
Hoh6b4nhcbSMZ8ad5bqXcOqAafOU/ltV+RffnLHk/f1Q7woTKS4iCCps1BLLPv+HssEIa5wSDNn2
GPIgpaY59RwGspw6Dy1QBpbNDIYafGNYdzrTJmAUqzrz5maVp03e+Aj3mKDIEI1VRCTbAV6NB169
VB6ogCwLiddmnk7FWotqGWt5qwZN4wGOgvGrTIYdcqAOO46L4LbpdPkM+aBaXJN97sOQMq5R3TP4
ilgxe30anydG82cmmkO4MhD5MTapvfzRxqPwAhm8JISjwUcWElVidbCJbQu1hTJhzfQh+vGepJ8V
aqHAx09Ug9e26q3q5/mAnukCmEFtjTz/MJ3soYzNdyb5912DCH4w3fxY6eOXEA8al0hsgP/8TMJY
Zj+t5nqX1hYFYSF8q02Gb4x3a3aC6K6awHfGHuN0U5ISgCDQvo6QmLAu2cFRhsazQwzZMYliiu/W
WVBg6huDKO9xLNrYn0SS4J+tw8fOhonYu6gYPRX6Trn0tYZAgenOgk2ij9GFsf+6jyAkBC4USAuj
bbph1tZNizIq9A4ongDqxaXjPdYOZ/TIxcYp3dg5V3qSQBytBIqBYmwa+8ksHO0lSlVzB82an+OO
o3wsRYo0oYn7Pb0ZBJxN0+V8q1Z0CvK6uZSk/kCRJ4IsH+CXobZKbnVJwzUZCrFRUy+3Ks70Z7Ok
tpkUkggtimX/uY91cIhrfaLqm53wkcPRvCniUqwCzDx+VNuL/5X81cOsNcEZrn9zX81M1/KmPQfA
Oj/jgukeTVhLe5AG4iJGw97nBc8CYIB423fFuCty43PETBldSwwPJ6H7vuds593rNvmt5D80lznU
ylufTb5s++mC9bWq1x5RRttmIEOltC1kjlguEZeOFux5z+xPOHbAgc+RfYuddhsERonasHPISRUh
Zrs0gl1nvYwqPJp5UPtjNdxXU/qEWIPpmUq0nQnI6YQdIl3FkWJ+24fDvRYMYieNmPR5vcr2E5Cc
g1W19WkiZ5mIlNAq7/KJfYMnGnXTSoOxcm8E9fTWYjpaZ7w0ZxUm2qkLbbkzRiobO0O1B9qEVCDs
U45f6zVXC1MD5oOHKxVq1gjssoqm46i5wWeXMooWXujtwiAYTiPz9bVT9kwHsXLvUHISRpPm2kqa
OprdoEeYakF+N+xsOM4yEufRM9xtkNgeKOcyYTAJ+t52ojcjMF48MdOc7zr9IR4nfS+V8QXW6Vlz
s/BTWuomFTR3GmTPsTNLnGZB2kB6B0wYgBkH0iJg1c3JRWtr2Dt1kPlFPX+NQxcwaKSn08oNQnUI
tBAlgqbfgyracnQM94mGHbPkcLabQTNjabPrp0ZoTs7yNGh+RYlLe6Q03loFpruMKnvTjtu6Co1H
y6q8pfGG+7pwVHvrtcp4Y912D3E+GKCtIpSui9wzimCUrCyzmq9Blna4YoNqeiqFm51ZkGZsHB4+
Fml9bsoBJCgdk9XA+HadVQHUEj06MzXeRWwAYEhRxqzCENJ+lovi2ubuIVPyKc3x4spAAKPBtmQ2
LqN2pE1+kGruJQzSb8HoJRxT2o3TS/Ot18muSHpD3VWoxb2VlfHusSTYd/GEytWziQWwc9nsDRd1
ZjnMwytzKwOVScOVdaxudAdsXiBwR+MiM9KyFzHUOhPg2bw35sTGgISoTWR50q5KKzN2ThZ1Gxtf
GO+JPX7N84l+PZU2t7lYp7jWnq3Ior3p4WpEK5wtiGPy3hJsKZvMrbNdPzvmmQCNoabTNCsUy662
x7nB3K123h1hhN1KeXzvdWAlsFpc5zFrR7ErAHxtGkk4nKOmeC9TYgPRT0V7XPjlqRx7a291lnVn
xyLdR1oYfnGtTR7G0y6bIm6/isYnwcrlQ5xwEX5P2aNBUtiaUSimXa1L5Seztjf2kOcvHVyFL6Oy
o6tN4NlLWxh+CfmGIWXVNNdeVB3ItoQnD47wntFaA3Gdh4zN86NIW4kGpyGiJQzaA/vjcFCJwZpR
48u0T3Bc0N/5Mmv7f9UV/yvy/6HINww6vX+oin4q8h+/LeTw9hul07fvc/klMf23P/Vbge+CI7Fo
iyPf/G4n+a3A93Q8KJS8jNWFQ9vepXj6rcA37F+YnVNvU1zRa/5eKf4OLzF/ITkXBwBDE8ulbjb/
qwLf+anLTPA67jBTp9NMzPGPXWYHmIAWDVZx0PA1iGoH8pUojA1qHoz5XY4NC5aaI4dzJ3mf87am
OdGirnTCwNnXOZl3xEKCgwR9Lq4t5SDtVT3d2LGOGz20qSvAHvKq2OMrHN269idwLm9eCLNZVjpl
iWcN6zoKTZqODjiAqjsoow13VlyEPk6Rek3SKvRIjMO7iay6FYcJs1zN3thuQfiQR1K4acb4v3w1
q9p9K2BTHvoxJFgltrd96zi+TujCWiUxIS1N4O6LKc4eZYQBYaVaYvEoBe3yNRJ9vZNKm4+s4Wx7
bI/2r4HrVOBrcyQBJKiF4YVE9+4pTTpiimkYPfRDI/2CqCnVC++CrbT23ZzFAckUMRVGSonl9ICO
Y+ZpQaI3u8ZhOjPEeDOZCt6XVekcmgKbO+ohItl7Je4KxyNEIsXIO6Y39lP0TgEyMcbQ7iYLW+IJ
qRY/NYuub6hNfa3jZzh7yFYPfTtrJF3N4khglEb0KiRVTlQwITUKTRhz5aW2Iwduk6stKmJmAegt
zY0UlnMOg9zamZXIt7I2SAOb2/m+UrK9OLEWwA6Vj/aYj+9T2rO1DQnMMSdt7+c04AdNdra1+3L0
tWqcHsw4cX7tAzhPxfRFz+N2JyoD4LEKKSgk+HJFFs4Wu4JNrh8aZjrBMrmEVr40RSrkfOQM5hs3
z5QfR667bzEHb2tbUtDqiy7JsuQqdDH7N1Pj/Yrrc/igRvW2M1YeF+9sXmx4b8x7k+ZOdp6S6inq
RfKEH3V60xjpMDyZLf2igfI7uZpORl2u8yXHHoE8FZXAypYBBe6cuscAbdWdIVR5yQbxFI0arVqG
afXeBRlxP5Y1vBsyVe5k3ngns47tEfGICbcxFlru7Hutj+FJQZZFo9ubabpGwAszDBxPUkjlreax
MbYkRLlrKeoQ/1Ap8/3UY8suZg+OPh1S+KSZ5DRjDFiB/aQOHb+lQboa5ZzfNI1JmVVDUOyL+tLY
8q3Maic4g9Eeo1Mlshc7bpyHHBt9oLlCAxDem4HcZZ2RpA4b4VB477M51Whmgmm+m9WIoLmXbv7O
ZC6Yz+hiV4Xb9U9WNRo3nF1R08Ojcx7NoKVV1pAkE2aFdxxKR8LrCloq4Aqm10M1ankyrONJhfvK
dNLmSWaDmeJP14kYjvzCdkrnyKnDbTWo6wnKURZK7nuuyI5BBMmEb8M5Rf88RzWx1XqlhVeQkpyZ
caDKutm01iTui9Hrg6/Jwhwlk8NbscKh6jM1pmR9CdQ7sFIsQjkGYK8xRUqhlcUAzjov+RWN6qTt
3UIRsG2VGfhEDnVobVXfpAAER2iZl4HD3jOeZ+stFQx6Yf2AITqIqNPVqqhhJxVokr9OptGlOxQe
qtoz0XIKX6H7pGMqgsDbFFbKJUkja2zUErp4NMKZQyHsGXrT+kByImsfV4SAS/mHJYw0SgqLxKDX
6BXwGdxJlnDc+joyulOaDZbul7RM0PeNTrjRiRC7o5gYt5Y58K96Rsgrqb0wwm0RTI/ZQMhZgzu9
+W54B6+ZewOaBcO+FJ5ZE5Hm8d6PVuBbKWAKxnIGcCMhox3VqrsrkbveCpmd5xAZ2KoRVokpbTm1
VZVDtlBnEsNiwj5cFSomjrcvegHTx5ZH12l2llYky7uKS44w7njThKWhbaEGIBTNyMmzJYGnayg6
2srWigI9DxJRVzm0Ke1afbaSQMK8NLzTZACHymqM9elohky4urmFYdFnhOm08/ReT/Wv7FHNlQYx
xCkn0NZEv2EiknqtfwrByW+hmQD0BA1wT8xdwOZQEGoFKv2u7Fxtm8FyO6pCD95naVtMroXfEhB7
YOkM9jk/6hWLfuxTBruflaDYWnUBxOmEyK6TAyfnwtTJXeH3R1I2TMmXSBriiORZXU3sZ51WmOiP
dJB62IkEBjN05JtkCuYbc9xkAy5h12ZF9TQ7ZXeYbNXvBOlpO0vlFiY5MSygVI3spgyNPPZoutoo
/mHmGizxWPotv2oMaIhc/9PomWTiiJggMJSut2oKkZciddsQ9RzubD7AFhwEsbQCjwFL42y+Gkhb
2Qstr3pTcMgvwpnFN8V5Zmt1s7HBGiH2Nrl6L8iDyfHzgF9WnEK3CXLOTVNAM0n1oX7ueQ8vfdM1
N8sS3hlpBBiMqEjOxBfGu9qI1DXlILMm6M/eI1H9UrtmfJ5wOrxAANchowqPH9LaVAJLcFrvciIt
c0O/tpjLu3XMm3+zEsLpPWk3b0zG6XrYqW+gTYIbZY1LSohrH3LYBvcpEfcngcPg16EN61U1EoOQ
cgg+RHr4wgiDmLYi58BbOA5opYkgRpk27koX2utYBLgX8V1csDZOJ0NrF0pYE3IG56zvm6jWmCqJ
7kmTfef6PfpWcg6dceNpA/0qNdreukYnsYYASwRAEUraM/ki11jp6b+YY/q/EGT/j73zWpLcyLbs
r9wfAA1avEYAoVKLSlEvsCwFLR1wOPzrZ6FI9pA1c5vW7/3SbDMyMiMzA8DxffZee51HCY+ILfqH
rUJmCjcvYSiaJXeCcaTNhasKclnw5IxlmPHIyxqSPc/CJ0rz8HNo/e98/w/zPdeh9Y8i/uX7KL6v
fx3w/3jZnwq+8xs7Ux9t2cXz83tm/E8V30PFR7AIbATnvwEJXYuoGNyA0N7k2sDZMt9/zvjhb3yE
8Qzxb37O//5/MuOj/P+i0rIZo+pv8wTxKcP29IsozOMSCWv2xlPEk8nZt6NDkDbrxuoqB2NyRZxl
kE+ZJ6D/mUU+n2XRTg95T2n2sQKnWQGIlVDhuU2Bnklnh/oGKH52rzK8I6lb4KAVJnxX3DxZhMde
K2O5zSoLZAlI+/RZ2a33xrH+o7YQFPlSz5Lz9xMrUv0gxui56zPQty2C/66jWI3mQouQN0EYfTMv
G4OQg7r1KABD76Z+Mt+iiog7l21hP7btUl0El1GC4wgu2AbxWHwc+pQRqNtGdVBUDct6TLVtUB5j
RD+EPcLj7juHRZjEt3POZElYyVUVmENpTYleRLTHxlfC+uQXVWlwbGOQf+Hvj0HVELwauy1BW7A0
4RHJP+r2ZTOfNbDdPf1DvFB4i7Ah+2/oWm65TfQqSz1k+7YOzbegAdjo9zLiTkipX2PSiDQtgjSb
MfPdLaiMOzoJVqwdU7Rfis6ZCf1GI7zygrvUbhEsMLghMBXafWa8z7PjPfGQbeDYzY51PYYiMo+L
Z9Uva1VDRJbZbL2NzSaSVwpWFKpQru7CvjZ+6HyJ9soZcIzkKv9mIIbgwAzD48/3J7Z3xSd7pPOC
/z3bsHrb3c9mxcCHjHcwx7k9zjP+xi5kbis6fskihGfVarrnd8FU2MhS1owPbJ7oubxmts7zU1pb
leaRgv/0kHsBfGNHb3JimWrozEzmOHa7sxxdVDAqbpBCisx+o6Uu9A9Wv4YQ6StaQGeOp28RtQiX
chYi5rtjKhXCKxKXdfETEan6ZTSc+invx/Vt6HNxzbgePZdawqxhS+3HCM3OpfXm7Arjc/5a0ne/
A9zhXbGSKjafCpjjakKdlxQ/4BEgze5pLAtHiHigBL2BHBndQv5WcaLfdbusxxAD6LGubefH4jsL
y/uxabqd5Wi1HSrLojpEpTnlt1Xd8bXY7/YHv4PFj4vHgcPDg3jsgpKy6Eo8phQJ0wS8VCzlK4rc
JzO9afymoC4qW8KjtW20xzp3XmrU/WMTKqPb8eSjDEBNRRMeK8sUT1PnvtEPCzHdM1/bUK3UFMth
C2PN2tAJUa+bJqOPdi8grhzoN6XGJ8BsB5IGxk+KRkHnQDiC4q67e4Hb4kEYDlPWugIGLFzrMmct
WVEaG5IG1u5W1jAxJbj6AkCNo3lFsJDRxXM+KctnCdSssKLSkZ6dRRGUcwWBQM7AhdyTGa8O7SRV
YncTcH3cDBojvTCOQ++Imxk0xJ0K6UUm9u7dE82ihiOXPBfNgNZYno41x9HQiJAAo6GY40WZwZvU
RnGTYm36uo5liYbTnTk5+rHuN5opuYeFCauj5GItHZ82dF7zofEyoXWWI0Un9HUPT0MEuz5ZpJUn
cy4pkDKqVn8CSWcSfR/yW8kS4KLNvnuBtLce7SEwIbMCuKN2KutNyKGrZu6TeCBiO2+pTpxbj8JC
bhTWbq4XM5a+v14tGEYfcqXFa8TP75zxdanyTDF0IGJfZ5RiwjJjv+XDAagWlPZdg3LJzz/M+Evy
oLP2QduP+7G282cfJizojJrAmk2p7BWGFgx2pBEwI5Q2jSKO34v9GEl1ZChq98va4Ko3hwSPhn3u
0Ppvu3U2ngFBcfOfbRo7o0WVwPnbeqKjMdQjR0LCoAFpOfRfbuY2o2sTC/yanNu4s+BUS39EqsF2
2nGF2uQlqRDZriK6Ob0npblHjQsWBt8wua3KjW9PoIonzNj57REVZzzDF7BdLofFfrS87RsRwVMx
GDTeCTkMfbOYC3GnfDGi9pan/XpLp0C3ckjSUyJmqDxjaHm/O5j+Oy7987i0Lc3/tST+f+TQzfNw
810VX7tfxqXtZX+MS2gsgHSo0XMibAx/a1K0zAj4DkokUBRS9P62Iv9TEw14EbMNxjGmpr/PS4xS
dmQB7LFw+NkIrf/JvOT9sqZHBeXbeyy1OafgSnB/GZcot631knFwGeF+rx8ukWCxa91gQlYA8cnN
zlnY662nwulEY5w7O++9cY8tA0/mUphHjtvrtxGqHpEQs/f2CnSFvlKIHt9ZWgQxCBF/1MOpZctG
SnnHqX51n4CX6XDOWOTZNinbGvouV/ZKVZ7HEKLLPLozC2NCbOwQCh0uoWns1yenpf+PkIeczPfa
WUidbBsv6NNj3pnYuIrQWPYqDNi4cZzckiyZ9iqVX+MEHfrwKbcD3Hbl3iRsxdIDmD3beZiLDZBb
hGgrCVELavO1GIKJAtO254zY7IXZUDRZWEUF7t4cvuYoDIdg6Nd7jnctZ591KXmpvxr6c99y5P/d
r/jfC/AfL0B/MxX/mwuwG6f8f+KP6tcyU+fnC/+4BCP/N4+LC3QD91ngFhZOmT9OLD+ZGC5IDBYf
4S++Iy5O0shcHoDltjMFfqA/fUfeb4SBSOHxshD4BZakX8J8/y7c5wZ/d+psHpmNmYcJA/U5xAX/
iymILVovfBXY1xp6V6aPhcjWCeOFjeJDRakxuVHSN3hWdzKEvr1j9aLfDZQFbAmFdRKyN65T3nuy
DkZzyNahYwmtxU2XYdwfnfkSDksQA2nzr7q5NZ4GWOr7rs3YfBesPHq38Z9wO6tPJS48AntU46Fj
Dx16EwF3H4jCjq9noZbDhaF5K3WO5QCThvdNVtfLcN/lN77TjBcmIZ5OQ/qw6OFOYXTF02WiVPTW
aRCMm6Qoq31Q+xfLZRU7Yz/Ms+Hb7FlAIkse0I0cyz3yznoDJzpLFoDnSppccDzBh1oYSVqWBLxM
jV608XXRG45G67WvdCCXiei3ubF2EyjRd2O1uomRVSCx7ck51EET7nuvZ4Pb+Hz/hqQ7vyk3ntow
Oq1iLh7pauzwF1r61Fc2h5Fu3dLxvTwR9Lsb18hEgql0AhyHMcYm3uaavUNC2XPirIANsADZAXVf
i0tVBDe5FeG1cprHyGyWZEqDI9os+vBmhAD2u1vxujAFZyalHubRgMywpxfkBSg2cwu8hISgOqk1
QvCYtedsP3qGz953/tIIXD5KYbOBfH7VM8DQ8KqSTgcwSxmwqbVsY5CLtGexqNsNnn+KaEWcEIT2
YWXjnNGp8bI6RbdzgI+QWifD78zUlNAFToMcpOezzYz4TKEZ6DIrlHEQgIlmdewBoTfWWCjTBb5O
HMILs6OafWgZ8EKSyCo/96p3rwYqXtY2pdjJY0s0i3GhUy475s4csL1FOq3BKFXl8NwJ/yVU+rq0
l2CXSd89GG1hJpap82PQNx/aKz+Xw+Qeyy4d9wsGmYRdu3EZ7Oi7C7c4nmTkxXwmts32zl/4SIRj
9hB1JR6FjAnQpgIX6vK0l6Gl965ARCUvdh7s0vq8ugiy1SiulFF90aurCK2FfVIWPO28Fruw1tTK
gOagdKothzjIeveUk68EzLaqPXWnQ1xZ45shJhxYgUpj0ukUf3TrcMTJ4CYdcd6Dz4H7QBXmJ0zu
2U1r5s3BCb9kkTAvKguGvdf7xnPtWli4OTq6cVAXxWMjqSFtBSeIkgjfsYcN8rytfPBKA7TU2NNi
IfQNh8r6AFpkSThq+gddMZB6iDNJq4DGTrZh3hc8fBMTrFZiiTDfU+1qUzDi4PAISv9s2SMVe1ko
T7adATKX9pUwTOzYPOU/we7ltxjSdma7ZbD3s2ihWQ5LsOnh4RVeaX6iPBl6v2H5XLmDPkx5H+Di
BR8DGaF9qmg9BMg7mxdrEosH2BiszX4xqjzxeypW2X0RJKD5ktMD1F7e6nwd4GTjPzSwFhdAyiv/
llDrlwIHATS5kDamASLXHEojDjS/z14L7xTkNbFCx/yh0jwEBdF5lw3ptyv96YmClzOwZ/8S6gBQ
5eg9+mk5JIvpdElOicBOL7Ufuy6NtvYQfQW/8VjAjEmtmZQ0jbVmWVjHtTC+N65eD/VIoGwKrouF
/14E7XHx15VxqW0PQWaMe5xWfbymeDpytuA7yy0+hg5GRRbqJ4F36BRI1h8slTY/yzztSfGsic1h
Ph6hae/NzB9vVjs4zI39EQ2wZ0OWI7DXhfeU2nm2J1WdbK1O5NRLOBXDdynqhSKaNaW+qcRhU8Oa
gf9SHcralojAgGvWqepj7BrhKacLqqvtz74vrsvMpUPXUy/hIuBqFP60x1zun2eWBc9RJF9rKNEx
i4/vfo4kL1N8d0vGLtmarwJ3Gm/70L4UHdY+r+vqmxrBF6DyfZ2ncPCdPNxDJP4xjvT3FRFBNk/P
3dF1geulMNsS1lysK2mBYx2DEu05wERqrI/CyT/TlRA9kwU/dXVrXWkfd4i01+EwhWxJVch3bLV+
HpAP7gWchdLiIaSMVHFIxGADHb4+jERId2bjPfXYgGJ/GoqrdRDnbBw4lkqHfdJE8RL+GzPOm8F/
ryv1tqTzzEqLArbZpk0sq/PDbE/4+ltlHKjd9PZBI6O7qZb35MzZX7ru9sbpah1Eup88RIQmfexo
mCMyVhzUUCC54UVkhWa8zhGlUwMUIgcWDffCeT6HUo/cawpy72nqn7j/Fhf6/7B5GtzlltDApDiG
DdElGxSVdrxDFiwOnUq9s1csr49ZUL4usvBw+4XP6ySuRDVszazZD8fog0vd1unBCGpNssa3Dl4X
APh2G/MS9tsemBZG8rJdehj9kQRHuIIh/FL7op0+uUB7cBICUxqi9qQAvLo9tA24lsvLlEoy1GAx
fFHWu4FPXxPSzjhGMKyD3K62iwzfqyec02B3BXSnoEcH++TMS+vg3lvXkTQVcc2OuzdJKd0vBVhJ
O/UeHRdFZXzvKFzV7WV0pAiifdkRPvOQCOvCyOHs9qMex/+O17+7c/5pvIZjw3Hvfx+v7yDC/+1k
+/sL/nT6mL951gaN44HCjuunMf+PsTp0f8Pmg+872Nw7FliMf51s2QREgWf7DNCYgThx4tH5v5uA
jQlrMb7SbRJY2HP+g7Hawrn0N7t2QLyLfQNWHBLCxLm3k+9f7NrpYmQUA3neWSoTUIVd6ooWmD69
eK4r98CGEJ5Q3emmwaNgLSq9hEg97zyY1SevDft31y/FK94T8ZopTot/+U3+f+zkW5rgr8FG3p3N
6cLjDdqOT7jx7+8uQmRMrSVyz6V0uw8vd9U9rJp2axxHuh6KeiUfZzJN9B2bgn//vcH4/vLdwy2u
baFK+JxrfNf5JesAaI4e0rkYzmmWvjVDStngMhfRTRWhRcV+j0kGJzyLQ2f1gyvlRsUnSriLz0q3
+lswi0HGvV6dS4ZLh1K3uT5O9ThXyTh0/kPAFLXuqVXxzunSTNdYYvoDszIVuNS37mgz4z7tStHc
5fZqQuK0uE2Y4TCs7BqwMIFlgIOJ/8LA2DjhM5Hs2N9xfOI2FbhxtAi7q0C4Ohm7en5EYWwP3eq2
FEhMTlgdsoGewH2U5uXeKVzz1cAnmsDsep7JaIE30QPP4MDv29vRVVli5MYi0eAceVqNJt1XEFl3
JRYstIVgkSSgiHbv+5wmosZW61tLkwVcU7IG195SMvRhk3oN6SLE6W2ibrJXzRVNNBRgn9Bv1wN1
uf5RRQj2hmsvAoiRPTxGs1E+mIKuypg0FGpGZ/ox9fbmSHG8ipJlBjF7kI4KYRpxKT0qbMZIycPg
12ge+fRszV2eYMpY5vNWuEQTnd1Oj6qYGfMsZyEBXeAAOjRWlYa7Np0qxgnP7y3WRZneKkJHk8Ek
KwjqVXm0pTA1hbE9nYsn5kCbQg+KF3aL570R7AyT3PPb+6od1YEdsz3uZg8krTtOPLUzUwFKKWlp
Hye06rW2jaO2w+zbkNtE4M0C4rKUMVdqRBFv0Dxqe5Wst7qZ0F0JBST0puAjD6b+pBtTJ1HdT6e1
GDsmSnvK2BKXMEr3PPIVgzyn1yMbIAsIV0hxRWilL05p00O/5DyE6sDLv7uLKe8syoy9XdEGzXcW
hVslqSaBTfqgxb0Dq45GbKk9Z+cH1JDHXHtPeWaUzi3NjLOHbSFt/OWJdu9C9TuMLp3cp5jHs32p
UqIRIWjhb22ZpwWk4rE82ma3fKsq2Wzd6jnoqF2PemTeiCEaiw/8/DWd3a107TshyCzrWTtnSHCl
fPMV5QvXq2d3H9pwqAxJo1mNXBWDMX1t07msYQdMAx4XlhtFMlGwaSQd2YUbuVrtijoVTFYy4+Yr
nlYHavyJjQeSmJG2WJO7dmyyeJzzrN863FHZsL1v1Smr144EHirzxLIu51EwtddjvhR9PDAbf4gu
2LrN15qPusI2tFaiegT8uN0Mqdyif7Bo70o9QxiauyGCchjx3cbtZ1tz9p1jqq0lGdizMgtLV7xO
hV/C/i0k756Djz4NHbvAolv6d5oLuvdF4gfaRZ7sZUxM2QkT1hzK2M2mmr+Y9HCalFmPHl1a6ULR
W2/33ccoao5/vVGj1m+3clQAfk8uZMyEQOu2AjQmeasKW7/UwjHoP6kWRwP0UylNmjrmSWCtH948
j2Z/CXG+8I8qA9HC5wj3E9aHztKLfGsB8RSCJazXfszrhCWNyldx1Y3avx0wksqYFE9nHJZ5KsoN
HdwfBzDUd2ubS46lXWFDwbBK9TCz27tzu44Lq2BMvxu9Gldnm4HrjcNVyjPOZvaAWNrz5roxMIFz
S9Q4LWwA1ueWZB0mmwHw8o6BMJ3jVozBZ2pz6MLll1NF+zqjCZrIjr+auzlfwxE1JljeO7h6t7m/
Ytpmz9ft0tCkTcxWgJcX0X0RGDxYEftnGUWlt63alofZr506NqBQyGOYb9xmKySDDFAI5cfFrnSw
WJrdYC1NAQ8ZgNtz5nkivrPyGQVn76snW3AvknZJzFMwQe0OnDABWnXt1mV3BQE+p1JSjzRBD5zs
1BD2HgGa0cKGUk/nCFgCHGiRspXhOaP5kaM1prq7ZsM4NIEN4U2QZZg7Gyr7OgXtemwXZ+XuJ/1y
JBMFNc/LPPegUm74onHE68/n6H912X8YHB2CmP/gE1cf4q+T4x+v+FOQdX5jZYyXjaKOP7cb/xJk
cYM7NoTizUuAhYPJ5M+diP+bC5YNldQHxObCmfnX5Gh7v4WOR9rQJbr5u4z7n0yOzJt/n4/I6Xuu
jS5rY0jHRmdviu1fZkcawwxJJMs8LzzqXqXhBjvsnl9DZdf04RpDkhvohwrgxWOwhDdC9NzHZTk8
9R3yqjmKy7ziA9jipDdkc4zzmjp+epRdmd9jXzU+5mBL4PmdOZzcMOU4yZiYiXuApquDaa+osJga
bW0FZ5i9oX3LhtnsPglq4AnnGJXuHGwBU9/fhP1oBiw05EJH9K6K5NS4uzTFnnGgTtoM5K5fxnH4
VIftBJ49aJvauiB8+BQV2Gk0JUFu0p2U167dkyOiJBLdBGw/5nOFCT5KClAC1iXoVvvFXTOBAVfD
WPL2k5uq8IgHByYtwRGqiCEhF0H5jNXUmCXhpEoOcd553UfZpuG3zC/x8+InUIKtK+saCSFNbPZI
pjJ6CybegqA7vLOvQtPRmxoWYb0sLY0XcOLBc5CMGBSf06MGZKArqd2CfKPagnBd3ToTwSUVIuyE
3vsqybSGTpbTllA8ZTx7+WPN5c1gt90JrfGl7Ao07Gmhd66J0K+XjGFmaLL8tVAF1tKV+jcqe246
d7zKl3l+FVnTIlWJe6dRVCS3MkJJyPyvk0qX3Tgv77r0oGrxIKyUc85U9aIkUvqKTgPN1/2SIZUk
Dp1AT6y9WLBpgxJifqWgWrqdFxC2EkEeHEK7PZJheJS6ePFr+0dHScOVFlSkRxX9oNzL9808vXeN
uDSya0/VxPM6KJxYaRqoxdr7V31v4pOA2JZnWDEqu3phJV/E82h0CfWR3/2i9fFV6PR+iTp/x2nH
wLC9sTdQmqt1ro6udK2dIlBkYxKIKadX+8xCRnUXbtjpXI834bTYScAy8Rx0RUEUUlO6bWQkF8QQ
fikQUI6N9IovYT6oiwI1mvSDZzxm/epylM++M0h1d54BpnQq1FPbrPXR7HmqQsUvTm3l+zuyjv6O
YQa3LI4VtB/PPXNfyA/jaEcHCjrovMqN6Cj95Ts8X0oYc3B/KfeOHfiJglCeKr50hCf20mvpw8rA
cCLECzblVGCicqx7TxsI2Kasib/RRh/a6tnyWnMH1/nFqNMz6i8pXAGXwpuMVw9oNN2NqrzkA8RD
AzDej81m9pkU1r60wHZUeL5xRA6o4fNqVtdouPOV709c8Qg5Q+wgWMPs89E3ZciWHgU2pF9yLKUG
Bg5QjSSWOT+ullyCp9qt+nsWUzDMhxTQXU/8+QA6IUxSoiOCHNlc4o3EKTqZls6OsHltEBzZ2Oyh
AfLd+GBVdCIs09e5Hpy9mUp5D3qMbkjJxyKLZM0Mq9T6bei5qSZZ4K4Xppf2hOZF99tx4qNF8HT1
TbUnSoi3vBPL9MMa6GjbZXg3Dr6a5/wHBQyYg0DuDpwGzKFfbkGgiHf6tRjodrmLkcKSjXmVt1ED
xjHs9/lg2EfThsk2VFAg1tI/BnnHXUJhC+rMDNeRI+cdkbZsZ/aDk6T0jh+HjPC0Heo3hSbxAlyV
CtLSICdZvdLYbu6o4epYzUyXyRjc29KkoBNjSIl7pvgGSHmMC7svXpqxZHrgfFvcwO2Q1q5hDo81
26D7oUk/DbVdhXQqOtF179bdxYom6HGOvJZz0T+6TmQ8Va4IPuzGK+KsIreNwxx34JzR6IfDx4bf
3rXqQJE2NZcpmfopnURMhnO6rUXeJXwdzqrU3xCO4apluPIfgFs7h3Tw6IAZatYeCIy0MRZJsYrT
Ypk5IThYGzxLdLiDMtY+MOO8tzPgElc20dfRFg8BZtplJyqOsE44vfkryXOGWSOxHXl2ayuEtm05
nLjI2wGtcvFjG5NxtXKGO4TEeeLW1KwYO8Vgm4XZIYXtvcPbdlvgu7nThilv1iLCI7jOLPRbBdFb
UEQhA3tOJtdmsxO5CoO/He6xeM+73hqPq5HBXXKmm2jmrgWraQU+GfFJnFR7niqM2/6CzS+zlsc5
RKyvwq5KqEpDDZy7CHajOhqwr88jbcp7jnKEofyo+br2nUxMzkn72TJIoyJ6kteF6QnDwBbPUVGy
HQuhygzsO2MxDWcaV7LdaPQ/1BB8asC8Jzpa5oMpenYRK4R5wwU/mLcKwReG48Wohm+b1aae0vnK
IpjPisAbSKYE7d0GAb5GBOiS1lwpFywm86xhr50ML6A5pUeioBEEM12GF8wI+ZnnCp3Ubirud4P/
WWsQxS1ucWzw02e7q6orr0/ZE1JWsksdxnhclNY1nwFxFIWb75eq+sEkHh1Urz9n/eYw0xH3spJe
dqp7rdRGHeHWX0U0OvfWwlZqGu9TihT2ubTELXl8ycOdrZ9vZhwDvB99NHx3p6I+1B4Dg1Tua8Pp
kOSxGF7qkC+lRxcZeVbTj3F2If8IYKz4UptdIJb8nuhq+RDZXX82Q1tfywoI6hJUn+cmNWNupiwV
kX1f4UnwwJicrXy3xcBHtUKpIK3OflF/Qaew0VLW7jyzej6UtFDv6XJuD6LUzTW8JvalK62G0lm/
iDyl2RgD8W6JeA/UAFSsAIfwRZi2vq8ctm08TbddZB7MCmNX1fP25VSV71z21XQzLW34PAQer3XM
9QkF6ky/zbKHZpM9zAjY9x6M+ne2YU90XCx7mOK3rt2JkzOHGVJ7XvbI1Sm/6LzI3U+RV+Ew8TjA
rVOYuDr1bdbCQbaV1yxrTOsEeo0vUbiyzv7mUS3uxSt/ZxzEVncnLT2dTK2o1VRe+HmphPnOAfdr
2afTnTYdg64mXH6nsp+cO6/xZWLpkkoH1LNJ7tgPAxKl9G2D/fCJMJvHIYy8R+CKwtxz1zQYMeze
3nssOn+I0aHxggs142+K/7rbrSgdx763PC6ZFjXhNIqI1qAZgTJeM+cJGOy8DybzGjxK+SbwRnyh
P+dSL3mqoRyyfxoy5xtLAu+p9Qv7q0V4ni0phWPVzihmde4XeiZpsMnLOcYvqL6aoOjjvpvFk15G
1EZunjeSropj1Pr32m+vaJ+egljyOFAnyD4lH2dfBt/SLKBj2xbBXYQh9ZW1vXtjUfkaj81SJx7l
HyDHqCKNxyFoEgrVu8fRcUe68PhV3KrKDvH9pR3dm1M/Z7EeQ1a0BL7WuzZkrZhR6HtIg2U6bFGn
pOd9kbPxjWPJubY5DuxgX7mbVa884ua3GmvlEzlIahjKoDib3sLEmw7+ZWgl2cIC2CCLDajIL5nN
7vhKGisKk87HC1Q6Lojc5PRLHWFEKfEo93mjaF5WbtvHvszwVJpifJi0ml7NUM/fPEhbp1B00VVX
ltOdS6nep87xRsrQRVdOsTP4cdV4ObtB+A8v0Qj8v+T4IJZnyCLsqjknwQHRUe/gUKj7VSZFyfVw
Rbq2IWuY1v6nhboU/y2rjELHMgTNjtrqRlyII2tN/KKoom7l+iSMqvxdBgtegi6Yn2rdUvMn8ta4
qVtVvBOjbA+kTIFPNFrV53luTZomyyzcUWBqUN3bLM2rmar0ATcWq6SG2ysY6ydUYXZ97TB/aZu2
o9M+gIc76exqbBlJ61bS5zw1snkGXgVhzwzs4xI21XXZieEA5yGPu2yo972ha/zzIx0PC71OD7Xr
jWPs6bQhdFRUiSwtjMCtxndrl3T+Biq7t3snXR/DoBy7O5Xl1EtFqPv0y+xD9hUMC02fR+smK/zu
TGPcLDajWhUMi/tEs+ZPE9u8dmS+xKmMcmAB2OOwvNXKNTDL4ASrdd+OsSNy7qMwSSnFEr5zmnIQ
F2BE4NbiuOuD01hxLX6J/DCNTaJX2XUht54wPsJjmSCfLrFvU1WFIB0QT87hq1zLyehPM9Lzoxom
zgJohEft+XkspxVXxDL255HPZDxPTnHdl3i5U3sOfjRj5341W3zkCHBItkfV9M+iitLiHbT5vG9Q
Bm8mrkcwmlpvjVth+B2Xe3byqc4ysEzQ+DAQr3zR5WImBV2buD0Ea2ZBqu3DZLC+WogO7mrOx13Q
m8eOLwvhYpiohy/6t1y5zeOyWB6tUsWytxu3j73cQpG28sZJsH9Tk2qyhjCHTZ2rWAiMY9nduu5A
HJT3+EkwRSaTUqQVWqtMMp51DOfDmih7pFK6Ds4GRRZxx8H9ccqK6DBWpv3hQUw4Qd/pd8Axhl29
WV2CosuPRebIeOy88NopGp8/r8iXL3VkyCMG3DtH5dE3sx3vJO9kt8F20Bvt9TRYNZYPGsmvYSBj
7CZqviR8boZDHykvGYAdYOnXm8mkLMBKp02OmM1jPMVi8lkw0wPWCJqTUWCqMBaeJO3i4zFh8USt
sGmsaJeOc6AmgSV3FBh3k6PXx34BzaBwrquKxgAva52RCdyoE3AM+fe+992bNC0KbrRDdko79P1K
cOOnnZi6GogbLD3gPUC85qGzrA9svaNbqTIUOfrdTpVfQKOpTW6YousuhWndhyE6nxBCAVPqsw98
DiWVFPgIGOyG8LYyhnFPxqxKrDp1d2UdOe8/E5MsHVpKiIq8eTd68T44AWldgpWup3CB0Yj8zSSj
cgpBwJ/XBina4uC5hfGo4FVtVu/XykF9CDJWULr+IGqUJ5K/1s5u1VsfcojIAOLoAd29fhOl3D5v
s9klgGuQ95XjJH7IbhtoLaCgQpBkFQoASwYRg5kZN/bG5qgTnK57SuUV9U9kb/m0iOBomVWAc5yM
Xp1l1T36g2nGMzUeYSJZw92KiXm7NIklD5v8o0LRn6NhqAnQSH3KytD8vrQc0SivlidspfjxjcF+
KCd22FU/UtutpktA/87OZBN1YSMa5/nan8PeH3gAG7CZsReQMc+zQ1YMXzivMYrRHY7iqcvmTAWR
rIgTifVVsp1HIV5uHPr4XhilnqntpocGX8pV7jsABpRmcOxytm96QH2fjTFu5fw5sgbY+SvQktJ+
aQ1ueewe3UPvj+F+8ZzwNVdWsyMf2caRGUrisan3TCkXhRi6sq/aNb8ujPZ96gOBYS5/Gn3rh8Od
lHQE01Gb9WxQOvud0Gd9dmTrfhNePcZmBiK5N5oXxbL4R983hsZOEfrTDtWD4Vv1hGe03zwSpQGS
02WUvUx9mH6W5lxJ+pkllJdoXR4HnHkdsfk0RXaij/PgCaCsDP+NxRlHeceKzMRjyw0LxqjjkSMu
ZRrMGMLyyeBKaBLfrLAoUi646IJd2pqlMX+qPrip4EbeYdZgsLaoj2dTVOHx821dt4kMgSEmVHv2
tzau7DP/h39VteEPO7Mf3ZJKnyos8gvb2uqyejxcWb59pegcxAIllPTs+bNLcU2JNatWF10EFZe6
9TLySEINn3q8hJsW2LcZHHcMcoHly+2aYMorLG9joLr7TNjcEnw1/h/2zmy7beyM0q/SL4BamIdb
gpNIihKpWTdYsmVjBg5wMB08fX+oVKXLriwn6evkshyJIsZ/2Pvbw7jPanQqQ/OOpugAMxlfZyr0
mzzWbqNAUusUTrPJSOQRxtBtyRL1Nl7uFgfhMP7D2iFDwCrIzujiwogItDYeLkEmP6EXcMVHyoEA
WV0ae4m2LJV3UxFFvvK0LtnRuzBAnEvtbjTtl9Sw5bGLNLRFrQvwuLAg8ugi3qR1aeynjOasdXp5
g+5bZ3LR1RhCnU8BpPdC/itjuGhMw6RW7zmhQ6HZKWuLdR4wTGd9iZzBeBh9QsfdSY0tcOx6/OZI
b3jg2WeuXBcFOvms/aEFp+XrRgY3Q7NvCyg/zFkwjm1aPc/3gVvd2l0hyXe3bGjx6Rj0Gw+ItLfK
9CQ/LCQyI5jrbZ4q8SGNuiY8yLYWnNo8f83NBLADjkDto3bL9s7TC+KdeOG1Kwvg+d7Ps/bkAc8J
kfFnyZo13qHV7HhjlUp9oc7i1orRMKLs9O/q0YpuIaf2X7XU/R63hhJkmWsSJaMfXObJjjD1e2MV
ilQf4Tc4/T1RcfZ8bmFNi9XolfWOKWgJaaPDlzsvCHyjZjFMWGk6rYVJAnaYzkpsERiRjKFH2plg
LGcgqEmSchENjyp2nqgQnIcG6BtLctXtuQ/Uxm0l5pzAfx59BDrsuc2HWC9EKBPrzjdk9FFOpCNk
ZeSHS7p5ui5o0rXjaFLUnDAyylVDKPSRGqKbtgjY6rAlk60/2BXPn5XbYSaCjgVklyFRQfI9szBq
mtI1VhXNDeXdWGMbIByzfW6F3RybxvcRYIFfY4WlM+NTIiPngOfCm0uik3UeU0d/HPgF7tonJPSl
BxGNVxKzJkGXkkhVEtrlrdUL1IRcPQ1AhbHbjU2VnmYhRLvmhRWwtO1jKiY1kn5ndiXepW6phHjK
vJW5673bbeJza/dZtxd+AiJNmxqKVt/2WXhrxQBu3ZoenF7A+qv0XBDdoHSfM6EFz4Up408niTOW
8nFEcCczNXVVOVDo0OJG28zNhFvakzTeE4mAISVoKdaDJb6PlNcbVgQX/FRs+ZCAHkTudmtH9EjD
0qi5TPFgvmQZFTj7Sx7Yc+sY97KpjRRqwOBfpdPyPuVZVt8Xsza8aMSkHKykYS5D3rJ/2yqte8kx
GJ4RJmPfEnhpaV6ldZFo5K8BrIgS+EEUHDUtMb+Q6p4fOukPD6a5YHsns+curSseq6vS8SuTmjFJ
wAVLWCDeSF7IuocKQHZwC5H4zIS/430StFZBIICpnG3njg5nuiSJrGtjQrtyeT/HkmUrVm+MZIyh
HnX4docMlgYu0kR9L0RpvJHxRqE2u9jQmXS00KeDNF7FWdq89C7pXKPGWzeubV5mXFJrmp10o8cy
2wlt9PUVo9FjG03ekkvXbRDc5ydhVJWksjf0U40t5AktQ8e6dkrLNZoQO3RbVOpW2mkXkTfiDPzb
35eJQdDXMIvdKHU7tAQ8xJXWjt2tD6v+lemtxktsFI869d2prZsRrh7VP+NMjymNllxVkg2hH8SI
GdllkNgqy9u+C75qgwFhxCijvZs43VrDRHcL9NwJUTeQ2dJYN3Vi+Pcky0w3o3KGg6t5QLpdAF82
cggumgCRLj6Zg0TOccvyOD9BIP2CCxKqYEQAQ+arj1iVhMjZOZ0BeXzJyohKZmWtesYsHW29FtOf
MAEhaFzou2RAkz+0OORyWTOzqfNKmQzagJZak7FGXuKtOqemltXn9i0FBh/SKsx71U5w0z1D9ve+
VzMHNoIC/JxjDsV1chLoNgkvm8zJ65x51pCfNK9Zjw7rG2asBpVGnWyNHCB2UJPyl8/8dz26SGtS
d2NXMQce8udAmq9WzMMa8MYmxRGxZlLyEVSgR4KYhcc4JvFaaoW+BtFYb00jt/ejXe7sOLvOPit7
nE4OYmV9RgQz31lJihs2a14ACGb3btxDFzL3FFbdbkAX865NrEFMS3u1SFDd6jMV8gTKeidY1a8m
v/8og6y5jH1zYR9NKqhe+7zajaURTArtDriVComdTG6aSjdP5H982prX39Zm1SKWnuxVyhqMQU9g
v6KhWfyd02kQYiJAqPnf2vo/1Ds6LtixX+gd229xXf11b23av//IH3trg5hchlnAX1g+W6ypWU7/
ubc2bUxGFildDnYdPENsjP8EGLu/ma4ZLBSzf2IR/jQSIYZETeKhBYcpi9Eo+G8Uj6gkf1xb645t
OS7qSkc3kZchzPxxbZ3Lfs7HPkjvsxw9TBBivkHh3sa5exdEwoYT5TatBK1NbwuFk/08rpUhdcM8
GupxOuPiwLjrkbK5kl2ad9Y1IWekmF4cBPc5cTpwbFdiqPI9MhN9vO+KRv+EKIUrlZcZCbshzw+e
tWZv1HECG5J1yrCrA4oiUoeyQ5lVtAxxxes0WDaFmslziBo2PlBHNau6jvHwdl5xddDT7WAHzWsr
KPS7PE+RXyEg7nu21i07grkQLA8o67QnT9e+EB4CSWgh2OJ590gSZX+bYiM8TbnNJndw+vdxUQUx
R8W3AxElubaenxOOWE/qHq5tFPDmHkt2tIJvzDhsZroriTCnFUqSY4NXOx7SOMSa635J8R8+SSwJ
2dkxJ20tU+Hdpa0O8VYRYptCglQsyL0koYYPpoBmWu9S9eA53fIuBHX5ym6oIokqYNGlpih+8Gwk
8CTlqCgPUQ4MN6kbJcd5nKZXbPK0Aa496Te0/gMZADmASIpeYlO9zmUbzSpJvPDMRc9F6qNkkjVA
tJcVI1/NIY8SYfrs3/n5SDdkFTS+yBtTNDPelMCfZnEtW8innnpD89iAaG25skITLdu0pmKb1qne
W6ixFqgTQUzfvRZvSxKTmsGKgqiImPGxs1jQESR6l4b0ABbkSR6vTdXVwGnwhakaD4BOcXXRnGDc
VFRvh8j2cDK0reN+juQ9r7GL9WcscjMOMlWXCQp0hbpv2xBddSLqNFO3etXrnjhArBxZJAZOxZxq
w4FAn47ijsx3O28S0tUqmpOVbqUqrlYJ4DXUiqW0TzjusUytkK/5/jLLsK1lcMnRYw8Qc65mY/Ae
SlGl49rTpkA8F+3gsf6tCZdVSQAQvNUTeFa4rxaPOoKN+rAYk4KTKwihLhtPCcIGPHBjha9K7cQO
PKb7AMd2lpqfngZQVUc3qkY2iJDDmDqNmPYEfdbNFKvEwTu0vA+0wtWTvcLCUe/xJ7Kp7QzVEZQM
eZf1QVt62ypO03uwsJiakmbA0F+Te8+dDcRvyZ1RacdieQHRikgMw2me075Zm5oNwTbhbK7FsCQv
65XWEnuCyze+dys9xSFf9qV3i5pgZGHp6Ls2J5whicni44qzwTJlZHyuCZ1Lzxq+j2E7QPJCvYKM
pl2XhT++mqmsdx3OGli+urwy187mC2rXr9ocVNxThGpPITZG5Zy72pJIPBuAR9uYkerrFC1YW1/1
yeM8+yaOkUi01Y7/mLG+16qu2/MkUg+QrKf6xnRwdoQoK013x/zKXCIFIuvGqkX7nTSxJ6d3l/Ge
I+eHITcBlo15YgBEiNS09oWGzExKneCtzLzY1cj9GNlBVm6ymKeZA4wOPUuT7ebJ8g8Zu7yc7E5t
mk6TMSI/tmQ1r/kkUu79SG4KI144XJwrWisxk8Qw29aFzDUdUHafFGvYV+YRn3+wsfxMCzZaKrCm
2IxcHsVMBLRuFSbnOac8+cJSI/uAm6E9WW0xvCHRGFq0zsxqRsZWA6wGCrTScLXuBpekHRYWJKkN
8clxe+T/YPcrQ0MUuXJMFyTWyvXnMjnYUnPwMivbcwS2MlUg9sW6RzFIjxGjDG7jBWyG3ZHxHuao
qCtHALK1U/Y22fOiZ0xZRcWjwaboGbXRi80lDFdeTojrAoqaveuP3sV1UDQT1qHWnZmA9g6QNENI
6cwNaOUoDpe0x2sVSftclEy3YU15pXE7tnVNe4zZZ+c3tfXadNNrPE1gAzsIgsbaSKPCR7qgd5JW
JZv625KW4DwrQ15LErfakMTcKb4Y0xAxIMDUrma1Ly2WS04WwkCLo0MjeWqcbT83tv+TAf4nqauo
AI1f+kce6h57dviBDD+tPv5aV/3xo3/UVZ7/G52qTharqxuOa6It/NNIYv1GReMsGryFj7D8y59q
QOc3XNn4pU0LaynAVWqxP6oqi0hWQhwcj8W74ZgLbOq/UAOCofqxqrLxq+iOTn0GOpkMSP2nqqqH
Q1Qx0qj30+ChaQ4g7DO4r9JglwAV2LoV6Eo0vJl/CVIL/CWzmPQ8ugTjDAVQzzUObIPwktR6cWWi
7uHfVA+DdKN34humezEDztl74+zsAduhoQ44Rsd0iewDMsWzcpx4ha47baKnTiyIsCcqFJA6Rk2G
ICsv69DPTdFsGtph9jtKkfyVc2NP63nIqu+yRLsCSFbZ21yT9l2CDvk+TyI71OqJjbHeaNaBZ+Ky
4HcdJv2aldCmsCxF4VYr99YEJi/CzuTR2peWdRhn37ohSUevNhMDhzed2yxYI5/pvvEpBlYKu2L9
HfWVxPAtGhAsnluoDYpz6wbtvNuGDDQQe6SAbfaACwNvY816+T3lhO+dyJl4FzmI8Iw5jT5n12ma
VW6M8kXMmsfv5S97sQVC9GrU82uQ67g1pzS5G/uoehR4Q+46GFnqODVT7KztnsTTVZR4wE4LtI8R
77EG/MpMcvmFpYraNK7gQGYALMulZsBIaGeTd5nTWbwbse/fRwW8FwRxrW6sI7z8lHDFWG89v2T5
OHs3kyjFXW40wb1DOkpyyoAW7pE5iu2AMv5UuGmzm5NkPCV9YG6nZCjLkIDq+sEwGv+ikS1Hch0h
8BgfHTI5MB6TO2Q8Rhh/blLF2dGK1L7BT1PfscQatIfZLhnbeRnwW4k3syny3mYAY5JFja6w4zsb
FgnvrBHGuWzeWjrSF6GD7gyDuSEoEFG0/ITa6m/AK8Bz8pHBXCZKGHaPdvBAblF8mayZLXAwteSO
OpDnQX5C/uPKc0ykmtr44QONhexpIJUSlhdv0bzxxp/YKe0jr+lmtsGKgL006rWTGWnDGI6sODaW
PvlVgtgwIOw+cXIHD8oo+qtHL5KfGCsE98LXDGtltK77VBnKvk2wJI9xSOWq6dDRMtJwQ5fsdWsX
w8XHZa9l2SjUCvlU3u6Vk9b+W4MgHztQMDYhgHor4vwsLh87sPpmWdn5/pYh7IxtJKqJfjh0ruj1
mwIPUvoCkCToDg7/a9EimforlGjtgUkiY+o8uvXKcjimQydfkqY8R4EVn4q+TIOvGf0Hsw7TKmtb
O8SlDh3VY7P25FhYYBjOsmLjHbeJWpVvdViHq87SixvC3cfntGOwqgVJfYvDqYFk0F2z3mCsVggT
OX1mGj4unWR8dt0oxi3qJtpjFVvRrm5bECa9Y5UCD5Uh1mlmNgyFp3irdb+PISv+hr3SUyQ4Q2/2
a8UW9aih8LgBRIk4Jaiu9eyfukxGmNGYxQd+PR3GNGNWPqXFxu4ojTFr7KiptE/oApsGbzDw4Xk3
+diQVUrhokTnnaWaHoCVkroRj6xoMufZaBecGiIK8s36+o453BUdGiKPlnhELFRQwmw8+0MRIWcQ
LsqzSoYyc6qjzmD5W6a8sz6b0RsU+BEnalMgPCHwLBtqybKQdbZN+Py90UfWtqmpeMYUt7ztzue0
8cHV23oXJokstsrIkbRq/JRBRiSh720t1gyY3urIIz638O5m0SIVyiMWvQkJtlbd7pqILjmD1nTb
ttF458rCp9ypv+BAaHa0GP4mjVS0hVECwzhC/lvDBdvPNeb4Yhi0Q1amxhEp4LDqvfh9MYGsY4Pu
MPdUtTaDnmVWV7cvhGaMe72Mu6cMoCgXxqjt4nb63rdusWNYqDZdOxqPg2FG71buaOUKm7t9g5um
RArum/pN7+KvgGthO8eqScWWaSveFxHXjKf63D4A1iZ3QdO8S4+4ATMxr6aslOmuc+ySq8KdvbOS
TUVeILaebOM3aXelQY+eg8bhlnXKCEpEn5wZHzdfqnoZ281Tmr8KryixgQwtqyrT35ayC3b1PIg3
1jz6Czo1bdMN7KzrsZrPFQU9NuyxpS4r/Qsaz+oW7Il2hyH42YsbCKVG0PTbWOKqaYlumFb91OWg
ZacsPgV56QdM9hclXpf2XpibCM1WDeXh2h4RXTndIvY1DetskXyyouSd6KRo5nYeXRE0CS8/aG2M
ZEjETBG0XnvuhC5fuOKqZp32ozjqVrvQAeoLkFX9DDa6WvsdR7ovuAxsCICTKcNpCfI24SYsQHWN
bsLLvlnSLr/1ZUs2a2KVc8iKdnR4D7rqAHMV0WOmGlQVlMZPddIP1yTI/U+GhvEGNZ5/aiLzXQv6
7ykY+FdMs4RIqEoPpe08VbajocyQYM0grK8GiIDcSk30FLf2jtDd98jtv/pm4+zm2u5Wc4Ranr73
VQ0qWHcFYAHPaz+akqSOwWJLmEyYNA1TfINoP6zyTKvXIG6y/WAS0x6aUDAIrY6M+0LCpKY9zS+V
4Z6rGHMY+Mh+U3YmCkaTWQg4gKQdxUYa5XxeeDUgauRnnyWPRFNTSlFf4Fpns2QNxd4zoLKTOE/m
FcDajsSkZTFtNT42Avw/E285FJhR+mHm+aMGoh4GeKNDFvbSPaJn71trtFdAUN8J0GGhmxI4o3lv
+CP0dYOGHMWI7h0CGMMnoS/bVoscmph8OJCDh7HKsSYk4HthQNHExYO1zyZVsqMWN45CMJC5xlM6
qvxUcM0jQscubyCN25kZZGkyf3btUIhD3U0P9pzIrQHod1UM+PMh2H521J9hZ4Hgps8fwlTOHOuo
tBTYlmrYOESDs8eX5Xbqa/Yqmv81gu8IAj160xvHumNeVYSl71wao+O6cr6WJgvtdO7lRiSpOKJq
qY99Y37zyhG+ovGJqrFJ1j1/ElhfOe59AQhQ2sDt04ZBwOC7yY6KxbsamooZPo/ZllZyumPxHd23
Uc2Ssl7XRbtLE/2cKImS3oMpwJYyZsoxgaIwMuNsiexpYqt1XejgO8HOrV952CeuPdxqRKGg+geX
bxfXLBsn/6Q10gWGNz93Wbpbis3GqO4Q98XYBoIjZr3vzEJgApTFKtH0u2iUd3PBxipB+dJCoMhE
+d4WAVACOT2OLA6E0d3Bkr6lWgM24qKRR5A7IfDrc2pAgDjkWzF48IsEZyldPjFPnu2ccOf6J7ds
qjBh7GMqD5wZ0afzvdlW+f/AeP/RIN1yCev41SD9JZVf60qmP8zS//ipP3o+3/2NdsqkgzPZKv4j
8e+Ppi8wf8P/wMg8sFGoLn3fP7s+2/tNh7hl+3j67d9Bwv/s+mwTe5jl6Uh9bZOm4b/LCvlxkg6S
C4AdZZkJGx5gmGst//4XA5iJ7j5HHe8eA9DB+7akUXOMqt3PSuVz2LWIi/5ygP4FD+BffSDuFEiq
hgPa1fiJVpDzrbG0ls7RckwwP8OY7nh40QoR9bOPlTTOv/48Oue/8Af+8QXZOHC8sDPgs/upqQ0y
d5agmu2jVyfuRxbwAdbCUZLOkO5+/VELTOD/oQ5+/yhONeeafpwNyMJ+/uuxxFScxH1u2Me8HJ0P
LGLtHtY6TSkTVOPcoWV49kAvn1tav+uvP/pffEuuJIerARUIUYQ/ncaxyQela619lGaGf9YXBBtg
4mWDPMRI1X79YQbLpJ+/KFcgIlvmDr6LrevHLzqB/iopme3jWAN8QN+EdwFxqE5O+dB5jDArKxPJ
oZwm6YeqTQb5aht1gXQEukmom1Vw+vVf9Pev72KIZKoCjcP17GVf9dcjnxkJdi2g1Ud/tPm6Aeiy
na6BIP7//Czw4mBAuIS5cH66oOKMXiahf2SqOhrn3tbkp9eV07XPTPH266+1HMcfLyjmRJg9YXvo
rLmcZWDzl5sz7UTLFLm3j0OUfEeQAxPJLLV/czb/1bHjIURONB/GU+qnk6kPyA86s7CP+MXrY+YP
i+KaUUFozOimV7/+Rsvc7G9fCQCgYTLp4hD+nEwEZMuA3WtYx8wkdXcN/KY+ommCl1mAlHrzm9z5
oJzkJk2DCQlBh8kQDt/Nv/kz/n4FQyPlsacvt6pt/nzBRCZNRuTm9nHyO/NgsS7R8J8F/klokiuU
AMlyk+dm667U3KMF//3mJXMv3fEEafe//mv+1RkAMh+w8+ZMez/P3XJ4hVOJneMoh2i6AmscVyPe
oKMt2mDz33+Uy/rWMTxeLebPV9Qk/LZuvcY6pg6HNwhibln2njzqfZcz8esP+/FRz+Mbk1CgLwB9
k4/72+UrcCoyaBDaAU0GEQgauIC3yirE2zwSqz0gXvL/zbVs/PgIXj4ScaWn8wrmal6WxD/eMSKf
7QW5Exx0zIQ7JEz0yrKV05Vmc7qmMuK8Ws483Sd+hp405pYqp441h1aJcc0Gjb624fX3+xOkQ8cM
Vmw2UwyGCRlM6xTp3L85SHBwf7glHF78dEbLDJd0V3ieP6e7IlvJ7Km07APQvhLFBU7COnVhcRky
71GLlwokf1Eg5Mcflgnlbgx+2aVtNaSeLM/4GyNS5BG6OHH3OVtl9zmRe4E8JEFWtTLJs07WSO2Z
WDrGyBLDiAP7o0n86VqwJsfswY+1jITxKPJza5mZ1s1oEnHZDR4p37HN3DTjAK5Unql7nNNau0E0
EDxj19OyMAmixtgb0lngAx690roMEkS3BINGZAf0qcXaqmr4DJ8j/ftouGkW3zX+WyR8TG3JGEsA
iq2EbYg3RTE977QI5d9hFFZ9lF1ctmvVGlVyyKmjP3GaNW+eqDByl0aqroZP1aKZnTasZpHH6btB
liCynBkQF2R9VuzPsBS49rrc/ciZcgNIzEznQxmB/IRqsbyhh8H5KFVufhVzZO6B7zXX1u3KnTOC
LvTS2GbcLQOU2CPb2BK1pGE8albDTbpkfNikLbIttTmiURo9K9tMd5Flyc9WouLSatN47GZz2R+B
z7lKGc/P5sBsUgQ25wn+SvBsTK38zMvYRPZpdcFmlpFhhT5xWM+9wKpCqqdiHB1V/JYyU8bj3HHc
yJJC4/r7Ww6p8ZICA81ihfSpzfZsyNALKg/5Mfs311ZwxdXsHTChtHuNyJV7ZhHBCWz4dIWtTQp5
oWsaK27azXOT4tFc55bufHgoL2dA6ni1IOb7CpubHnnuQSzPS43FMRY+eyCn0WRs0ISgaYEwth3v
RbfGAsUVHCt0EbNvnBOtRCmtnLKDm1dDa117RMWIP3KSjMriWiYFNcD0FvFrCakCc6hZLA+MhXLS
dV6+mE55L686VFZWKAheup2Bv8WhkZbOB4No58Nd5s/YblqQ+Y4y2ofYms39jBnFW5uxa79Xw1A9
+mhCb5nrExuJAcBgO4x/dGukentIi3q4iSGj8FuKic1ENaNj12XkPhbFDO+OkD8ckKzc1Jmkbx1N
aIJ4tcwDCJqOxEznaHaoqlk95sR4bNALCIAr+hIcwzXJ0EaX1aVjhl+B3+lLnN1t9923Z1KrTK8/
B67DMElNGX1gn/NkCueCB9eog/CCQqnEq8sEWG6lo9yv0+zhVeqq6sT6vo23OlL1Eae7SNdGVlew
GPr6HDDwZJczy+Q9tkC4EkkkbtFfuLumUtGRrbvX7Hw5um8iZUmtKlyYJCrXB2B1WP6m0Z7fq6LJ
N+AbZjIFBk6jj3o5JP+hes9E5nVI7xO5zvXW2y3FqER10ZCX0baltmmoAZehbLklMqdbHkyMH/DB
XPtcajcVosObrGXioJxefUO1O8KdSLUL6NjyNc0HNr8KRCUzLvYXDR52BNQfXsec309nbR0hMggZ
zhnbUtT8Il8721Oi8/jHfg8aoEWpv3a9AnF2mDconhhZuZ4f18uZF+OJStffEw6jnDWBBSP5tREf
hK02YsMQJzcIkyVNuUzWc63wGpd1/4RWFXXvUMktpFFcnYn+tcC39hoUKckKgQE9SsP70hf8HQEr
5gtvJSjdM4/3k2s3hL7GOmfUi83shAK4ute7XjCN6rioNTRU3YeKOuOsmRm3hAQcBPhWdPi83Smi
wDYtOIUhT9vuM24Bgof1HBiP8IK5ZHVYsc8tJtF44/eTQ0RSmmCt7OpGZw3twQMCV6vV6ExhsRWI
+0JPFe2+kwHvY793cMnhDSIgtS2W32ZMAlxF2vEI4mm8DExqnrYTfZTEMcskcJgZ2gqbW79PHDAf
E2slkspzpqOCyzasPabY4NCr4s2EZUw9l/QjxODarHHGJJKBiJMlvviuxGADFvAYsRVeJzdVZo/f
Sh/YLeJuzXlBmIJNOgnkvqgVS5xqilNyT4ws+SKH7iMTjrVx7DSOQ8bVjXxFFdxrD6y3amvvm4l/
Hthuhi46300yjgS2a+68Vf4S0RXEaOVZeY1PAyneVzcW3wl2f53gptzlsLn2PFcZX5kBo0G7F+Zn
3CXx55ym40Pce5w57nhon0BPA2LRWXKuhiQl/RGWs3dgHgohehpR9zLg4Tke5uhwxj3iEf1oN7W6
bSQSNJdRMzqhEgv7yuUssM9nnvCsVYAiN0RT4YtqW/uOfV1x12A7u5ap34RtbcivyCyLTU2u15c6
cIcjS57ZXDmRmcK98C0m8Qki5rGfx2BVNgWPiyCCJlz69kGNw5cI4fDDSDbJxeihT7EVc97z0SXB
gxiSgHflIiZqlBVDZ1HpbUsC/UELRgRmyRDLDzNlpFx6FrF4DM+OhqsTLml3smxxG6l0C+aTuMzJ
ME1IbXbkTfi0K+vRxRW4Hyprxo6bRCdd9fOlS5ByEWc+vvVF1/QbXUo7PUzpNDmhX+twLPxo9POz
O+mj2AVJLzGkV9opg3b/pKd4GEMt72FJmJqn5/uei+c88ob/bgyNvO2FGHYTL8JjlckSG1mQ4DDC
W27dJDzcdlAKjDQUVBYaDiRvuMTmMKIVySIwaQSItm/51JFiASvsBGuLxyhG64AcMJSC45q8yD4i
8Kg2bztPAQpRQcPqxC88mweiAb7DJEJjG2jwg2MR2zd4/lCBF+68l72XXiUmx6feUPLZL5hOD9NM
tGQGqSD3IG3YqPMWWEnmrS0xevg5SBnHy4IjbNXpxNiwecQZZ3Oo7oeZPqUqZq8NHXLI7uBaTk96
O2q3TtpZZJZbjbX1Nav14IxWzhZbN3GttZkGctdz7X5H6TS9CJgGX0eH/NbRRZyy1QEpsrOCa1VA
Ky08diE+6cUs+pp03SbsvfaYkL87CeZTmZUWb7lUdgdrnFBB1jW7BxLjQB/aXstinLfzncbIdmPq
btThTV0SUmeFUx/lmce8s7c7/5j3DOGBEg2vML3I6PbiObvTAYPoq4gIkbsKuXUHVXXSLolmcdYK
BkgYIcVYTP3zlDQTvr3fm5r/sbD+HQvLZdj4l/7vbyEhL99k93+e0zZG9fGjBuYfP/mnBsb7jfEf
/Rlu1kWzsiA5/xTBmEQqA8OyiS5eWKomjfKf2mIdWhaCc8/3AtpX12MU8qcKxvuN9zPzH7AYtPLo
j/8bFYzr/9iNw9ayXJCsJInBdWXQ+vMoLVb2WMDuSW6YcfXH2q9AJ9JqyKOl8H8Tp7m8zHrLuEpm
BqqMifOApbQudGPc85zlNRBFvbdtCfd6QNaJp49A9OfU7wroIXgmrLQPlvRxp9n2cG3IL80T50ZG
3K7bPusjshQ1e6R78x2YhHbugCYKEOU5opz2TWQfiEZGT9YqsCNx6cdPLEfQBvDeIqjAzV6DcXw2
ZBFhio+kepq7gXZnLNQ2HTR93QENvFDYGYeurlCsTGxWgLcsPh9S45urQ27siR9hwQ5va9jB+bqk
kcgkd2827ltantt5VBW8BUt/mcmQOzIQU49ofa0tzOPkHrqhy/ZrXr45yHNJveSmdM4ZecIeqLxV
QibRQ5xAdqCKQUcq+WdPb4xjYKRP7FxhpfjdcOvbauuTrRRqjV6vY3QOtJep3T3kVJv3IEGsS8SI
B9M59hUDMGq/YAB8bV4THxus0AaTgiywNbuqKXCicwgt2dmhXQfl8n7wVtFk4anKxZ5gzRNcIHNn
9MkddkPyGwG22sXaGxISvJwRtzNgPvvUae0AMAamBCOyuaPv7vbk7YKSlvRHK4GEb6MNJnkHmbJY
gkki8gJcDidEnvsu098QLTistEC75FH3HFVKPwRj+6RyZSOL0av3JYLmYCTCW5GolZDfqrDKdM66
yOL4Ku3KIojWg0PuZ2VzLiqo3hzlMvFW5Em5d3EvXVghWrSgBoa3qI3MCykZ2caJ3emkZvGN+pJ6
nj7Q3URNGt/PYyYPU0A0ZeZaIYDhCR0Pe8TCcKM1GRrRxbC6VwTAGLLpvm5YNkXxceyIpL1M7Aya
D5SZ8l0fG9a6NBkXtxTOEdKr9ZC7NiIrp+pPCK8bN+wI5utWoyjbW8Qm7yP6zbMmCJczR/0bY9t3
bxwRLpRO1dwwlKSyS+G4o1kw5Lpslf/mx0n/SE3HWm6Iio3bRAUBWSUwm71u9w6kC7euCl7B4/ie
IKrX14ZiuoAUlzqfHXBrAJRV5sZhXrtJiTDQSd2ZiU3QE/0klsaApbeC4SDM+9Ex3lgcvOltjxia
2qb1cK7htEwFFZGXNO0OjzJ8p9h0X5zIf4wj8U3HSYwMhBjcTctmeO8gj/Dv4L0JXO4EGWaJa+5j
njlXfgNydsgJpKunR9xL481EdinVCOwvmr5YjuYtBTnEKz+a2jjsmZ2VqYaAqO0Umb263GZaH/1f
9s6tt20kicJ/JZh3CbxfFpgF1rJky4qd+0xmXgTFVsSrJN5EUb9+vyYpR5QdT2Y7wBKLJeZp5LTY
re6q6lOnTkHpR5ApTUJuczsq/SHr7yeFQi2hoXvTkJqj5J2GRG18XczV2CW8r4IZt/oAVlqGB71A
8tS8zdClH9s6ldRePFfHyVY0wLMpbFW3lvO7kcaVeZEfZnT8GdAjJPOuQieinTIyEhNzDu3DVapy
sjYCBLP2UfiZ+LC6jGF7zBzfnhhrdOu280qlQhllAK5jgfkOdjlSIRaZfquEEebsQgOt9Ti5CUIK
nDZFQc96IyOdoMar23IHS25UBEINP1LMqZk76e2eXO9vJXnfIpqhz7mClJ1towt/tXHGQAbxJNjO
rGr/GT4XesNppk33kAbGJn81i0xlc6tGOtK4pjGAPpFsEk25NGEX2dMQ4g2WKk3e6RTzfXRMZIYt
2jhceiYqHaMKPWgab6PnMnKjMEQPD0lhY2+XM6if8FTS3Z9R6ASExoW3R/HOTScijSJ05u6AKaqv
hQd10tvZNl0SV/TDQ+KrQKeVIH5uQWiy4UxceJYQN9WUYkrVWgTnd56+9qPiTxwLPfqQ5r9eH5KS
U4oKwoGS0LKkMUXs5/ekVvRobBt29tqI5+5kt1I/rGzLudYHaJP5ir0dpWsnuIps6DXeIb3OkBu4
UHGw4zXShyTaB7trMsjKVKkEB9ENvalV0jGE+7Iys3JUn/HYziTbUtxVcHGmAZbto00RvZ+L1LWd
rewrqhzQFQGA/UqnLdg/FW08LuIttrcEOLh0dS2ZJi50iotgFSaXiuhCrm4ETVMTanVGdettV/6d
T7p9FEZkIuhv5V6atAC6qfJkPqH4bIbESjJWDvvswdyk6PYR8o0D9A9f5zoR7qEwvGl6cL/Q5yee
rsz0IXFXxbgIyy9xTF8TBfxujCTDp42acr9Ps9V1UUb6JbW/dzt1/j7P1tBrYrrXOMXOfEexZzxJ
Bxn0j+A9iNvgXekFb/es6818b2qcxugOIZ/DZG+FZPYpkDYVIMXMokcNJScGolXrC3NHHwyEuKtP
RoheVlmwru8ThHIttKHzqritMmW1GdM9VCWf7+/RDMkVXdxzDTr0KGP0Mw7K2Ju728MHStjdwWfa
ke6rS59utAdRlqohjhmu7cPFPlQjKlfsXFWFlMfqQxjSBAWWrFCBzugIfrcLVQTCNyb0Qy2AaMgt
P42XVS0krcCyfaPR9NNDIzs9/K4jkfV7vFH2N7YQoy6ELHVSDejfviMJSMtlyn1vFCssMf3RmjXY
eYhaC3lrNcZiOuHAWlSI5VCChAz2TnELHcI+4tjOofBvYiXOLhFxH0MfKidVLaatFYOrLEdgO6uc
ZFI6iTrRa/3teI15DROdBYLdxj1SWa1+M6o50pCBKGzegiZduEDp136t8a0cIHOUmwIJFbzboaQb
xFafpdsCuZJcS7dqBnGicGG7BTsFmQV8G0UZpAZAVtDrOIA233ChWCM24GS7AkmEqphFXjiYUi+J
PLkyR7rhQtEN941K16J8xBU88SeQftzxxnEPlETqBSpGq0T5gzYyoFD7QAneOV6avA/coEQG2qp8
6HS0a88g5E5S8svXh1pWPQlpCHWhVKkNkpaivB6R4L6cZ6ixx7Uwe8SP//mg+3TeycwrHRE3FKkO
VDZRvsCtNQn9OWU2KOXRswlG6IBmW2N9P4jvjAqFUhEBoSwUW5ozNYR4PFwyUaOrzL3RqkBYboKG
JUrzWZgr0Ajz/DPG+0DuJKO3lqt+MWygdUgnClxi4i0kZ4A39xduSs+bMi+CCrFQUxvluXXYjgzL
i9+sk8xRR6CfSOmZ3u3WLCHwCdn8srDNqQUABIxG5updVivsZ8DQVwYk6rHLj3aDmGiyu4zWRvWA
QDzNU4i5PyGWbs/mhod+v1/t7NcZsKp1OV+R4LiNaVc10ir7cy70kCk3oz5khUZyJNSSNWCxaapV
hxQSZmD9oW8NeLsZGrO0/7OxA/RCuo2CqlpqlFSM6KuiLrCn/o1fDlS6jxnW590uzAByqFGi+wjc
b+cyh8FJwxW6IAFW6u8pDQSOssr1xaaywzH1ee4VXTOLsYnUx+xg70q4iKvyfQaYiRJtuR9RJ0zD
knDrLWAPUrymbTYGgDRSmhdbdZuOE22Xj2IhXqjP82Q8AL6daDvFftC4Ab8mOXm4c2g08mFLdwFz
hD0PkOFU0QpcK9HnlaognU9PGvcG8Gx+49uRckO/iAQ1CjOZKcnKeqcfctjLCiCqdqBl6ICensjb
GttxtbZVYn8FIhRq3CB6uRdimuP1pLS25lUQDdbTvUIsvoUx/hHgUJ8MlHScb5Pgjb8CewqCeHcX
2LY2w0jsLjmAHBYblZlsh+XT0cMYeYNki3BrYI0rqv1RMN9VyQUCsJz11AhmW8q2x1GMjvDKzaN7
L7TMw7UdeSVssML6usuRpbfQrKX5WeTubxH23+uTMjU2k//f/3+oCMaCJfPi/Z9aRXibneqX5t8c
q4oVQ7QB1WyLqz1UA3GHb2/+qqryEfIhus71n2Tot4u/OeTarz3WDQu4oL34G4ooKrZVmB/UqpDP
1v7Oxb/LtYCKpJhwLXTXVDXD4N4vYIETrsW8KFW4dUl5V8QPqyyCT/jlZDXeNrSNV6juvN346zz7
9RcW64T58PQLzlLT6V6P4u2eL3ACgFMaHhXuwt/d+S5CeQ8vf1Wdxv9GHOG7IFbArqBkiBIMwzxn
FFAtpkYmabLbwEShNSA1NdA4vSiTOlqYmH9mwX7l3HvwhXPlStnS7O6AHqRZ+esbRccUxA+bBOG3
FRdKw1Nc+4ouhcoVUHmx9El4+fHrIqXOzpgpIM3TKHODefrRCZRqZhmDzfxjleQTCB7mTUbI8Dbg
BorgajBP1vkIW0XvOj1FvEjbWQN8YLnTXXQ/ojjxQnoyw7lNRxa+xyY/s3Hw675VaUhJF9pNSrL2
U7WP8MLzBG70YVdF5SQG+dTjmZ2bwaWJIMOdo1Ju8eeATiM0RlihtwzJIx3R3cfQ36BGsD3MghxR
mg8lgtHGeqzvVnN3QOkP2of7OcK0qZ811LD/GdSwnYgA9Wil4ufVu2KZVu+XGTj7Y49P8Wm9uz8i
+/qf/NGxOu35gV79ECeTRsCih1BH3KB+qfqNXxojWvDOxcPy118Ma8jBEKcdmoF4oAdF9AFtP6aX
uIAUdUXXmm86WZ3vzf/lqTUL+fLfvPTqzcpMH379xTRdFBekZq/bQ800QGBV99nZc9sbko2EpGVA
ChNP/YU9WgRMvi67CNqQMkzIQDCU6ocBT7eAoO0a8HE0BXpu/fyXFuF+U6xzcRRRzu/QjHFTP7YG
ZyN8Owa6S3sK6Bg43GfXwKUzsAocLphp9dN8YY82gkNz8B9bhMUDwcklCafUv8/5qR9tAYsgemlY
CIk0k2S3n24E20QKBdUSXYUrLR4CA45fjxaB3s6wLKVMgoXBI+qxIUQ2k+SXPl0EMjVDjfBMZGZ6
N31CNsnp68aQH9dRdLXdAwSZp9OHqI+vgFUHCbd++rcHgJPPs3N/2ysqQ2JfFQ5quwnOVsFx2SSO
heDOt5PSs5MAgVZ+KyDODyGY3F/9EMafbgVxU8FvmFCwSDnyNHuvR+aAButcLaTMge5ws3LYBxSY
HCfZWQTFRMgApq3VuOE+zR4rJTl7OndSE6OaoI7Pzt4mdNBp2ETvpPqbejR7VSVmlZy+hkiFa3IN
1s88oYMVdGyd6gqu2+Lp3Y+vsl1/MCj6fjwACcHg1+V+0Mzy7G7g6EM8pU7dR+sLercKcMilfQEW
gOBYhIbfWQX4GCpIKBodzSr1bhVUva6nk7KD9UWI4JB6gjMvYGIAqf0R+62ef++8gIYyDK5LavrC
DTBLAuPu7G1rSPdi3OTxXtC/H9+w1eal7vf/WC03j4DD3wEJjKFOuaZNSNREAmfhEOwg6EpUboAc
9s0PiHqbJlCXmD8lqLhAqgmbLS7MfTcIACYw8BNUcvVt/sSpjqwf5GIIQuKivtz8/AIGOZ0/CAEx
AAk5tw0TercKVLcZ0qdAGwIF4e7s1umfuUObcBjkXKeooH+bwJU2gRRbK1QP4wifPwSu6PCpKAgA
t583oXePQkKdgjPpmMgecs4dF2bks6YQXTNLiMFCD2s+751BVKlDbnz0f24QcYfU4gpJ3BYuOzsK
roPDADADUmtWoX8ngshWFioCPRYxgQYodmYPEapzWBpDKAeLp3/2EFE7aa9gDKlmpfgdEeP6eeIV
raFKQpLGIb2LCSnYd2T9gU7S1SHmt0ACm6e7C1wVKE11AFC+IYl9A4kA9iUjY8MkgSRgoJOjfhob
WO4QMQ047HZfkXONLI8sTGQAmxIYuKTem63w1CIQNRBBiThKPL1zjmxTIWAudUsScBG5MlqhtBYB
E3O6F8iicGBwG8dkY++co4YSi7RdBBQDdrAfseHzaJnLArqmQmuhsZv92wvke5ufRiJEcIWMq4Fd
eB5CF8L6lkmLKXQX62XonY9gL0in1wmUiBTJlaB1Wz/nJwIgkVYAIpPQU7sgZHulYWQiBdoIiEKi
ZpbnmQRFGUK6AWds4/MeXRp4L1cWPTL0IcVVhAlHGP0sUuLmyNKgfnXMwDcmqE+rYLAOst5BGSJ0
ZUI3eT7HDqiONBUnQQjw1E/frtEUvqvSe4HUIiGxCyftWYtgA6XhOmAFtovQu7sDv5Ahe4FE1M1Q
VQgXFDHWz7lF0JQhyi3c0VrD2T/vQDmk9CpoQ5BjBOfg1tTPuV0wh8QJCpajjZ17GClYquwq6CQQ
dCH7c4wUzvaCTbIdCieaZm1U2cdVEFphcrEzJ8KgsBctqvbgd2NnrAXsG5GPPxqGvlnHVuBfahV0
fYj0kwuu0FrHsxPhKNypyTfCPWhWqX97gbpraWSBE+GgIUsXhObhiHXuUQBPDdO7tZ7Nxa1X8QJG
S/ZEsBc49dBsWhTt7B5FihsfwVZoiW99mr4gVMpOn3SC5mju8WYgyBynm0AEjXDbFcHAqZ9m1/Vp
Fbjlyh4FKhscF4JuyzB4wk+27aGDlqkAoptVaO4qPVoFHW1F6cu0CQUX2ASk+XGWp3uBBBzyEQDR
J1Bsv6BGZAiFNqqUcwBkg4BL5AxTuXm6JwJWHmg8hB23r6wcHR8pvRdU4gCkkDF8zzsHgBcCSk5E
S9fu34kwkHaU3AukpHVysVyaWx95BqzU5EQb8B2Blfqr+mQRwBhlQUbOAkU6qJaaZxESlDx0l9H8
JPFSP73DWHHnT8rn/jZBl5sTIDoCps/TlEGZiQ0gcrM7jqbiRw3iD+yUxzqgkedHD3UFkL/MnisU
+t4fHAtgnn7eFr+IChdR19D5QyFM1Hz3twKhf3b4ezUb/+TDIzu//p72n7cTfPrVne86zur4P6/9
ZbpI772q/qBqX/NuEVNF9K9o8WURL04LHjFO7Mxvb/LrL533PDn+fzFwFp6NK1JW0uOm/mHT7U+G
hjVHRX7gcLHOFtlxJPEzUrNOLCw78mgR+V836ZmiVFMEJT32Jtqki4fN8S3FWzfkafmR1+vlfe7f
F3ln8JqbLDv45TJalIt0eTpyUwcjPXJbHvNq8/UV5Z5F/KUr5OXSE+74rc+qhT0GOi/t7gmr7j90
t3dDW5Z9/6vlBvWx7siCoSn/ztesuO8fx6m3d0MvlX3l6cPC62xAtWEuSo8b0Ylw43dPZFMjIj30
+sFfnFmRhm4nPfKm7P54dJgGFpMddvbUNjVsIOmBGaC4D6vjK9b7oqHYyA79elP42ZNlbvgbsmPf
Lvx1x3pQ6/oz3MvtAuXLxfrhdDlaGrL8K2fZ4h45z2Wed/Z0S3GUHt+/9/zVoltf2TAk5IfGF2Sb
vLOz2yJm+bGzzOe/7bZjm9p8/s8YfVOk50OL9LD00Jt1fmZDWsqy7Mh3yy/p4ix6alke8kPvFl2/
RXpQUAbkBy5fXS/ibeb5XbfepmF/xvg3yzRbdixVm9f7GYPfLvf+fceNMbig2v2Mwf/YpOFxJGFh
GVqgrNJD067w+Z69Gln7n/YFl4vw/OxTn/MTQpI3nt9d8SZZLbssb8KIiKR7q9EadF966HS5Oi9h
rwFz2YHfLtfrrIp2i7NrArp6AoqVHf69t3lYvppmT3xbg3fLDv/hL5tHf1+e54cC7uYLnm7EluQi
+/4fWf1lli07IUWL/8qPve/eKlssUXbcT/nCO24MYVMgcwpwTnbY35ZpjGc7DlSP3MBe0iM/p6vc
MPtlh/59gd+hsWX3aLZ8B+nB/0oUWnJvv9iAT3bs7wtavTjyc0jTo2DEU/zpqA3z3D/rgmviL+6j
5SL9578BAAD//w==</cx:binary>
              </cx:geoCache>
            </cx:geography>
          </cx:layoutPr>
        </cx:series>
      </cx:plotAreaRegion>
    </cx:plotArea>
    <cx:legend pos="t" align="ctr" overlay="0">
      <cx:txPr>
        <a:bodyPr spcFirstLastPara="1" vertOverflow="ellipsis" horzOverflow="overflow" wrap="square" lIns="0" tIns="0" rIns="0" bIns="0" anchor="ctr" anchorCtr="1"/>
        <a:lstStyle/>
        <a:p>
          <a:pPr algn="ctr" rtl="0">
            <a:defRPr sz="1600" b="1">
              <a:solidFill>
                <a:schemeClr val="bg1"/>
              </a:solidFill>
            </a:defRPr>
          </a:pPr>
          <a:endParaRPr lang="en-US" sz="1600" b="1" i="0" u="none" strike="noStrike" baseline="0">
            <a:solidFill>
              <a:schemeClr val="bg1"/>
            </a:solidFill>
            <a:latin typeface="Calibri" panose="020F0502020204030204"/>
          </a:endParaRPr>
        </a:p>
      </cx:txPr>
    </cx:legend>
  </cx:chart>
  <cx:spPr>
    <a:noFill/>
    <a:ln w="38100">
      <a:solidFill>
        <a:schemeClr val="bg1"/>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image" Target="../media/image8.svg"/><Relationship Id="rId18" Type="http://schemas.openxmlformats.org/officeDocument/2006/relationships/image" Target="../media/image13.png"/><Relationship Id="rId3" Type="http://schemas.openxmlformats.org/officeDocument/2006/relationships/chart" Target="../charts/chart3.xml"/><Relationship Id="rId7" Type="http://schemas.openxmlformats.org/officeDocument/2006/relationships/image" Target="../media/image3.png"/><Relationship Id="rId12" Type="http://schemas.openxmlformats.org/officeDocument/2006/relationships/image" Target="../media/image7.png"/><Relationship Id="rId17" Type="http://schemas.openxmlformats.org/officeDocument/2006/relationships/image" Target="../media/image12.svg"/><Relationship Id="rId2" Type="http://schemas.openxmlformats.org/officeDocument/2006/relationships/chart" Target="../charts/chart2.xml"/><Relationship Id="rId16" Type="http://schemas.openxmlformats.org/officeDocument/2006/relationships/image" Target="../media/image11.png"/><Relationship Id="rId1" Type="http://schemas.openxmlformats.org/officeDocument/2006/relationships/chart" Target="../charts/chart1.xml"/><Relationship Id="rId6" Type="http://schemas.openxmlformats.org/officeDocument/2006/relationships/image" Target="../media/image2.svg"/><Relationship Id="rId11" Type="http://schemas.openxmlformats.org/officeDocument/2006/relationships/image" Target="../media/image6.svg"/><Relationship Id="rId5" Type="http://schemas.openxmlformats.org/officeDocument/2006/relationships/image" Target="../media/image1.png"/><Relationship Id="rId15" Type="http://schemas.openxmlformats.org/officeDocument/2006/relationships/image" Target="../media/image10.svg"/><Relationship Id="rId10" Type="http://schemas.openxmlformats.org/officeDocument/2006/relationships/image" Target="../media/image5.png"/><Relationship Id="rId19" Type="http://schemas.openxmlformats.org/officeDocument/2006/relationships/image" Target="../media/image14.svg"/><Relationship Id="rId4" Type="http://schemas.openxmlformats.org/officeDocument/2006/relationships/chart" Target="../charts/chart4.xml"/><Relationship Id="rId9" Type="http://schemas.microsoft.com/office/2014/relationships/chartEx" Target="../charts/chartEx1.xml"/><Relationship Id="rId14" Type="http://schemas.openxmlformats.org/officeDocument/2006/relationships/image" Target="../media/image9.png"/></Relationships>
</file>

<file path=xl/drawings/_rels/drawing8.xml.rels><?xml version="1.0" encoding="UTF-8" standalone="yes"?>
<Relationships xmlns="http://schemas.openxmlformats.org/package/2006/relationships"><Relationship Id="rId8" Type="http://schemas.openxmlformats.org/officeDocument/2006/relationships/image" Target="../media/image22.svg"/><Relationship Id="rId3" Type="http://schemas.openxmlformats.org/officeDocument/2006/relationships/image" Target="../media/image17.png"/><Relationship Id="rId7" Type="http://schemas.openxmlformats.org/officeDocument/2006/relationships/image" Target="../media/image21.png"/><Relationship Id="rId2" Type="http://schemas.openxmlformats.org/officeDocument/2006/relationships/image" Target="../media/image16.svg"/><Relationship Id="rId1" Type="http://schemas.openxmlformats.org/officeDocument/2006/relationships/image" Target="../media/image15.png"/><Relationship Id="rId6" Type="http://schemas.openxmlformats.org/officeDocument/2006/relationships/image" Target="../media/image20.svg"/><Relationship Id="rId5" Type="http://schemas.openxmlformats.org/officeDocument/2006/relationships/image" Target="../media/image19.png"/><Relationship Id="rId4" Type="http://schemas.openxmlformats.org/officeDocument/2006/relationships/image" Target="../media/image18.sv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581025</xdr:colOff>
          <xdr:row>1</xdr:row>
          <xdr:rowOff>219075</xdr:rowOff>
        </xdr:from>
        <xdr:to>
          <xdr:col>13</xdr:col>
          <xdr:colOff>581025</xdr:colOff>
          <xdr:row>5</xdr:row>
          <xdr:rowOff>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2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000000"/>
                  </a:solidFill>
                  <a:latin typeface="Calibri"/>
                  <a:ea typeface="Calibri"/>
                  <a:cs typeface="Calibri"/>
                </a:rPr>
                <a:t>Go Back to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200025</xdr:rowOff>
        </xdr:from>
        <xdr:to>
          <xdr:col>7</xdr:col>
          <xdr:colOff>9525</xdr:colOff>
          <xdr:row>5</xdr:row>
          <xdr:rowOff>19050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000000"/>
                  </a:solidFill>
                  <a:latin typeface="Calibri"/>
                  <a:ea typeface="Calibri"/>
                  <a:cs typeface="Calibri"/>
                </a:rPr>
                <a:t>Go Back to Dashboard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9525</xdr:colOff>
          <xdr:row>1</xdr:row>
          <xdr:rowOff>200025</xdr:rowOff>
        </xdr:from>
        <xdr:to>
          <xdr:col>12</xdr:col>
          <xdr:colOff>38100</xdr:colOff>
          <xdr:row>6</xdr:row>
          <xdr:rowOff>19050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000000"/>
                  </a:solidFill>
                  <a:latin typeface="Calibri"/>
                  <a:ea typeface="Calibri"/>
                  <a:cs typeface="Calibri"/>
                </a:rPr>
                <a:t>Go Back to Dashboard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2</xdr:row>
          <xdr:rowOff>0</xdr:rowOff>
        </xdr:from>
        <xdr:to>
          <xdr:col>9</xdr:col>
          <xdr:colOff>0</xdr:colOff>
          <xdr:row>5</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ea typeface="Calibri"/>
                  <a:cs typeface="Calibri"/>
                </a:rPr>
                <a:t>Go Back to Dashboard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876300</xdr:colOff>
          <xdr:row>1</xdr:row>
          <xdr:rowOff>200025</xdr:rowOff>
        </xdr:from>
        <xdr:to>
          <xdr:col>6</xdr:col>
          <xdr:colOff>447675</xdr:colOff>
          <xdr:row>6</xdr:row>
          <xdr:rowOff>19050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000000"/>
                  </a:solidFill>
                  <a:latin typeface="Calibri"/>
                  <a:ea typeface="Calibri"/>
                  <a:cs typeface="Calibri"/>
                </a:rPr>
                <a:t>Go Back to Dashboard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809625</xdr:colOff>
          <xdr:row>1</xdr:row>
          <xdr:rowOff>9525</xdr:rowOff>
        </xdr:from>
        <xdr:to>
          <xdr:col>19</xdr:col>
          <xdr:colOff>0</xdr:colOff>
          <xdr:row>4</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Go Back to Dashboard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228600</xdr:colOff>
      <xdr:row>0</xdr:row>
      <xdr:rowOff>158750</xdr:rowOff>
    </xdr:from>
    <xdr:to>
      <xdr:col>41</xdr:col>
      <xdr:colOff>247650</xdr:colOff>
      <xdr:row>5</xdr:row>
      <xdr:rowOff>158750</xdr:rowOff>
    </xdr:to>
    <xdr:sp macro="" textlink="">
      <xdr:nvSpPr>
        <xdr:cNvPr id="20" name="Rectangle: Rounded Corners 1">
          <a:extLst>
            <a:ext uri="{FF2B5EF4-FFF2-40B4-BE49-F238E27FC236}">
              <a16:creationId xmlns:a16="http://schemas.microsoft.com/office/drawing/2014/main" id="{38C00523-EC77-4EB5-8600-EE5B56909B12}"/>
            </a:ext>
          </a:extLst>
        </xdr:cNvPr>
        <xdr:cNvSpPr/>
      </xdr:nvSpPr>
      <xdr:spPr>
        <a:xfrm>
          <a:off x="228600" y="158750"/>
          <a:ext cx="25012650" cy="952500"/>
        </a:xfrm>
        <a:prstGeom prst="roundRect">
          <a:avLst/>
        </a:prstGeom>
        <a:ln w="28575">
          <a:solidFill>
            <a:schemeClr val="bg1"/>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4000" b="1" cap="none" spc="0">
              <a:ln w="10160">
                <a:solidFill>
                  <a:schemeClr val="tx1"/>
                </a:solidFill>
                <a:prstDash val="solid"/>
              </a:ln>
              <a:solidFill>
                <a:schemeClr val="tx1"/>
              </a:solidFill>
              <a:effectLst>
                <a:outerShdw blurRad="38100" dist="22860" dir="5400000" algn="tl" rotWithShape="0">
                  <a:srgbClr val="000000">
                    <a:alpha val="30000"/>
                  </a:srgbClr>
                </a:outerShdw>
              </a:effectLst>
              <a:latin typeface="72" panose="020B0503030000000003" pitchFamily="34" charset="0"/>
              <a:cs typeface="72" panose="020B0503030000000003" pitchFamily="34" charset="0"/>
            </a:rPr>
            <a:t>Team 10 Dashboard - Best Places to Live in the United States</a:t>
          </a:r>
          <a:r>
            <a:rPr lang="en-US" sz="4000" b="1" cap="none" spc="0" baseline="0">
              <a:ln w="10160">
                <a:solidFill>
                  <a:schemeClr val="tx1"/>
                </a:solidFill>
                <a:prstDash val="solid"/>
              </a:ln>
              <a:solidFill>
                <a:schemeClr val="tx1"/>
              </a:solidFill>
              <a:effectLst>
                <a:outerShdw blurRad="38100" dist="22860" dir="5400000" algn="tl" rotWithShape="0">
                  <a:srgbClr val="000000">
                    <a:alpha val="30000"/>
                  </a:srgbClr>
                </a:outerShdw>
              </a:effectLst>
              <a:latin typeface="72" panose="020B0503030000000003" pitchFamily="34" charset="0"/>
              <a:cs typeface="72" panose="020B0503030000000003" pitchFamily="34" charset="0"/>
            </a:rPr>
            <a:t> of America</a:t>
          </a:r>
          <a:endParaRPr lang="en-US" sz="4000" b="1" cap="none" spc="0">
            <a:ln w="10160">
              <a:solidFill>
                <a:schemeClr val="tx1"/>
              </a:solidFill>
              <a:prstDash val="solid"/>
            </a:ln>
            <a:solidFill>
              <a:schemeClr val="tx1"/>
            </a:solidFill>
            <a:effectLst>
              <a:outerShdw blurRad="38100" dist="22860" dir="5400000" algn="tl" rotWithShape="0">
                <a:srgbClr val="000000">
                  <a:alpha val="30000"/>
                </a:srgbClr>
              </a:outerShdw>
            </a:effectLst>
            <a:latin typeface="72" panose="020B0503030000000003" pitchFamily="34" charset="0"/>
            <a:cs typeface="72" panose="020B0503030000000003" pitchFamily="34" charset="0"/>
          </a:endParaRPr>
        </a:p>
      </xdr:txBody>
    </xdr:sp>
    <xdr:clientData/>
  </xdr:twoCellAnchor>
  <xdr:twoCellAnchor>
    <xdr:from>
      <xdr:col>0</xdr:col>
      <xdr:colOff>266700</xdr:colOff>
      <xdr:row>11</xdr:row>
      <xdr:rowOff>126724</xdr:rowOff>
    </xdr:from>
    <xdr:to>
      <xdr:col>17</xdr:col>
      <xdr:colOff>57150</xdr:colOff>
      <xdr:row>41</xdr:row>
      <xdr:rowOff>133350</xdr:rowOff>
    </xdr:to>
    <xdr:graphicFrame macro="">
      <xdr:nvGraphicFramePr>
        <xdr:cNvPr id="21" name="Chart 3">
          <a:extLst>
            <a:ext uri="{FF2B5EF4-FFF2-40B4-BE49-F238E27FC236}">
              <a16:creationId xmlns:a16="http://schemas.microsoft.com/office/drawing/2014/main" id="{BE152B4D-7CB8-ECC1-C6A0-BF94E10AD18E}"/>
            </a:ext>
            <a:ext uri="{147F2762-F138-4A5C-976F-8EAC2B608ADB}">
              <a16:predDERef xmlns:a16="http://schemas.microsoft.com/office/drawing/2014/main" pred="{38C00523-EC77-4EB5-8600-EE5B56909B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33</xdr:col>
      <xdr:colOff>95250</xdr:colOff>
      <xdr:row>11</xdr:row>
      <xdr:rowOff>141419</xdr:rowOff>
    </xdr:from>
    <xdr:to>
      <xdr:col>41</xdr:col>
      <xdr:colOff>228600</xdr:colOff>
      <xdr:row>41</xdr:row>
      <xdr:rowOff>20706</xdr:rowOff>
    </xdr:to>
    <mc:AlternateContent xmlns:mc="http://schemas.openxmlformats.org/markup-compatibility/2006" xmlns:a14="http://schemas.microsoft.com/office/drawing/2010/main">
      <mc:Choice Requires="a14">
        <xdr:graphicFrame macro="">
          <xdr:nvGraphicFramePr>
            <xdr:cNvPr id="22" name="State">
              <a:extLst>
                <a:ext uri="{FF2B5EF4-FFF2-40B4-BE49-F238E27FC236}">
                  <a16:creationId xmlns:a16="http://schemas.microsoft.com/office/drawing/2014/main" id="{055DEBA8-814E-6558-C7E9-A98BF89AB0B9}"/>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20212050" y="2236919"/>
              <a:ext cx="5010150" cy="55942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190500</xdr:colOff>
      <xdr:row>11</xdr:row>
      <xdr:rowOff>107582</xdr:rowOff>
    </xdr:from>
    <xdr:to>
      <xdr:col>32</xdr:col>
      <xdr:colOff>571500</xdr:colOff>
      <xdr:row>41</xdr:row>
      <xdr:rowOff>119061</xdr:rowOff>
    </xdr:to>
    <xdr:graphicFrame macro="">
      <xdr:nvGraphicFramePr>
        <xdr:cNvPr id="23" name="Chart 1">
          <a:extLst>
            <a:ext uri="{FF2B5EF4-FFF2-40B4-BE49-F238E27FC236}">
              <a16:creationId xmlns:a16="http://schemas.microsoft.com/office/drawing/2014/main" id="{5D2F228F-A11F-982B-3A5C-4F634979CBDB}"/>
            </a:ext>
            <a:ext uri="{147F2762-F138-4A5C-976F-8EAC2B608ADB}">
              <a16:predDERef xmlns:a16="http://schemas.microsoft.com/office/drawing/2014/main" pred="{055DEBA8-814E-6558-C7E9-A98BF89AB0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265044</xdr:colOff>
      <xdr:row>42</xdr:row>
      <xdr:rowOff>105966</xdr:rowOff>
    </xdr:from>
    <xdr:to>
      <xdr:col>14</xdr:col>
      <xdr:colOff>0</xdr:colOff>
      <xdr:row>73</xdr:row>
      <xdr:rowOff>0</xdr:rowOff>
    </xdr:to>
    <xdr:graphicFrame macro="">
      <xdr:nvGraphicFramePr>
        <xdr:cNvPr id="24" name="Chart 2">
          <a:extLst>
            <a:ext uri="{FF2B5EF4-FFF2-40B4-BE49-F238E27FC236}">
              <a16:creationId xmlns:a16="http://schemas.microsoft.com/office/drawing/2014/main" id="{18B3B890-1738-3247-FFBB-FCAD8285E8C3}"/>
            </a:ext>
            <a:ext uri="{147F2762-F138-4A5C-976F-8EAC2B608ADB}">
              <a16:predDERef xmlns:a16="http://schemas.microsoft.com/office/drawing/2014/main" pred="{00CD285D-C092-C0C1-E872-4146AF1517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514350</xdr:colOff>
      <xdr:row>42</xdr:row>
      <xdr:rowOff>110780</xdr:rowOff>
    </xdr:from>
    <xdr:to>
      <xdr:col>41</xdr:col>
      <xdr:colOff>266700</xdr:colOff>
      <xdr:row>72</xdr:row>
      <xdr:rowOff>168551</xdr:rowOff>
    </xdr:to>
    <xdr:graphicFrame macro="">
      <xdr:nvGraphicFramePr>
        <xdr:cNvPr id="25" name="Chart 1">
          <a:extLst>
            <a:ext uri="{FF2B5EF4-FFF2-40B4-BE49-F238E27FC236}">
              <a16:creationId xmlns:a16="http://schemas.microsoft.com/office/drawing/2014/main" id="{AF397B1D-C7B2-4EC3-305F-31E40AD0D9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231320</xdr:colOff>
      <xdr:row>6</xdr:row>
      <xdr:rowOff>6901</xdr:rowOff>
    </xdr:from>
    <xdr:to>
      <xdr:col>41</xdr:col>
      <xdr:colOff>207894</xdr:colOff>
      <xdr:row>11</xdr:row>
      <xdr:rowOff>62119</xdr:rowOff>
    </xdr:to>
    <mc:AlternateContent xmlns:mc="http://schemas.openxmlformats.org/markup-compatibility/2006" xmlns:a14="http://schemas.microsoft.com/office/drawing/2010/main">
      <mc:Choice Requires="a14">
        <xdr:graphicFrame macro="">
          <xdr:nvGraphicFramePr>
            <xdr:cNvPr id="26" name="Region">
              <a:extLst>
                <a:ext uri="{FF2B5EF4-FFF2-40B4-BE49-F238E27FC236}">
                  <a16:creationId xmlns:a16="http://schemas.microsoft.com/office/drawing/2014/main" id="{00CD285D-C092-C0C1-E872-4146AF1517B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13966" y="1149901"/>
              <a:ext cx="24987528" cy="10077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80755</xdr:colOff>
      <xdr:row>0</xdr:row>
      <xdr:rowOff>98425</xdr:rowOff>
    </xdr:from>
    <xdr:to>
      <xdr:col>5</xdr:col>
      <xdr:colOff>514350</xdr:colOff>
      <xdr:row>5</xdr:row>
      <xdr:rowOff>107950</xdr:rowOff>
    </xdr:to>
    <xdr:pic>
      <xdr:nvPicPr>
        <xdr:cNvPr id="27" name="Graphic 10" descr="House outline">
          <a:extLst>
            <a:ext uri="{FF2B5EF4-FFF2-40B4-BE49-F238E27FC236}">
              <a16:creationId xmlns:a16="http://schemas.microsoft.com/office/drawing/2014/main" id="{2FA938AA-13AE-DF7B-DC56-44C69340DF3E}"/>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519155" y="98425"/>
          <a:ext cx="1043195" cy="962025"/>
        </a:xfrm>
        <a:prstGeom prst="rect">
          <a:avLst/>
        </a:prstGeom>
      </xdr:spPr>
    </xdr:pic>
    <xdr:clientData/>
  </xdr:twoCellAnchor>
  <xdr:twoCellAnchor editAs="oneCell">
    <xdr:from>
      <xdr:col>35</xdr:col>
      <xdr:colOff>513244</xdr:colOff>
      <xdr:row>0</xdr:row>
      <xdr:rowOff>167309</xdr:rowOff>
    </xdr:from>
    <xdr:to>
      <xdr:col>37</xdr:col>
      <xdr:colOff>266699</xdr:colOff>
      <xdr:row>5</xdr:row>
      <xdr:rowOff>176834</xdr:rowOff>
    </xdr:to>
    <xdr:pic>
      <xdr:nvPicPr>
        <xdr:cNvPr id="28" name="Graphic 12" descr="Earth globe: Americas with solid fill">
          <a:extLst>
            <a:ext uri="{FF2B5EF4-FFF2-40B4-BE49-F238E27FC236}">
              <a16:creationId xmlns:a16="http://schemas.microsoft.com/office/drawing/2014/main" id="{4D554C3D-A8E2-34A1-4CDC-4E6B4C7BC8C4}"/>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1849244" y="167309"/>
          <a:ext cx="972655" cy="962025"/>
        </a:xfrm>
        <a:prstGeom prst="rect">
          <a:avLst/>
        </a:prstGeom>
      </xdr:spPr>
    </xdr:pic>
    <xdr:clientData/>
  </xdr:twoCellAnchor>
  <xdr:twoCellAnchor>
    <xdr:from>
      <xdr:col>14</xdr:col>
      <xdr:colOff>146055</xdr:colOff>
      <xdr:row>42</xdr:row>
      <xdr:rowOff>112643</xdr:rowOff>
    </xdr:from>
    <xdr:to>
      <xdr:col>27</xdr:col>
      <xdr:colOff>409575</xdr:colOff>
      <xdr:row>72</xdr:row>
      <xdr:rowOff>165651</xdr:rowOff>
    </xdr:to>
    <mc:AlternateContent xmlns:mc="http://schemas.openxmlformats.org/markup-compatibility/2006">
      <mc:Choice xmlns:cx4="http://schemas.microsoft.com/office/drawing/2016/5/10/chartex" Requires="cx4">
        <xdr:graphicFrame macro="">
          <xdr:nvGraphicFramePr>
            <xdr:cNvPr id="17" name="Chart 1">
              <a:extLst>
                <a:ext uri="{FF2B5EF4-FFF2-40B4-BE49-F238E27FC236}">
                  <a16:creationId xmlns:a16="http://schemas.microsoft.com/office/drawing/2014/main" id="{14B050D0-B9BC-6236-BA5B-515CEDA9103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8680455" y="8113643"/>
              <a:ext cx="8188320" cy="576800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41</xdr:col>
      <xdr:colOff>274540</xdr:colOff>
      <xdr:row>5</xdr:row>
      <xdr:rowOff>138631</xdr:rowOff>
    </xdr:from>
    <xdr:ext cx="7394524" cy="781111"/>
    <xdr:sp macro="" textlink="">
      <xdr:nvSpPr>
        <xdr:cNvPr id="62" name="Rectangle 33">
          <a:extLst>
            <a:ext uri="{FF2B5EF4-FFF2-40B4-BE49-F238E27FC236}">
              <a16:creationId xmlns:a16="http://schemas.microsoft.com/office/drawing/2014/main" id="{4F5CD30B-0ADF-D43C-77E9-8130133306FB}"/>
            </a:ext>
          </a:extLst>
        </xdr:cNvPr>
        <xdr:cNvSpPr/>
      </xdr:nvSpPr>
      <xdr:spPr>
        <a:xfrm>
          <a:off x="25268140" y="1091131"/>
          <a:ext cx="7394524" cy="781111"/>
        </a:xfrm>
        <a:prstGeom prst="rect">
          <a:avLst/>
        </a:prstGeom>
        <a:noFill/>
      </xdr:spPr>
      <xdr:txBody>
        <a:bodyPr wrap="none" lIns="91440" tIns="45720" rIns="91440" bIns="45720">
          <a:spAutoFit/>
        </a:bodyPr>
        <a:lstStyle/>
        <a:p>
          <a:pPr algn="ctr"/>
          <a:r>
            <a:rPr lang="en-US" sz="4400" b="1" cap="none" spc="0">
              <a:ln w="6600">
                <a:solidFill>
                  <a:schemeClr val="accent2"/>
                </a:solidFill>
                <a:prstDash val="solid"/>
              </a:ln>
              <a:solidFill>
                <a:srgbClr val="FFFFFF"/>
              </a:solidFill>
              <a:effectLst>
                <a:outerShdw dist="38100" dir="2700000" algn="tl" rotWithShape="0">
                  <a:schemeClr val="accent2"/>
                </a:outerShdw>
              </a:effectLst>
            </a:rPr>
            <a:t>Click</a:t>
          </a:r>
          <a:r>
            <a:rPr lang="en-US" sz="4400" b="1" cap="none" spc="0" baseline="0">
              <a:ln w="6600">
                <a:solidFill>
                  <a:schemeClr val="accent2"/>
                </a:solidFill>
                <a:prstDash val="solid"/>
              </a:ln>
              <a:solidFill>
                <a:srgbClr val="FFFFFF"/>
              </a:solidFill>
              <a:effectLst>
                <a:outerShdw dist="38100" dir="2700000" algn="tl" rotWithShape="0">
                  <a:schemeClr val="accent2"/>
                </a:outerShdw>
              </a:effectLst>
            </a:rPr>
            <a:t> here for Additional Data !</a:t>
          </a:r>
          <a:endParaRPr lang="en-US" sz="4400" b="1" cap="none" spc="0">
            <a:ln w="6600">
              <a:solidFill>
                <a:schemeClr val="accent2"/>
              </a:solidFill>
              <a:prstDash val="solid"/>
            </a:ln>
            <a:solidFill>
              <a:srgbClr val="FFFFFF"/>
            </a:solidFill>
            <a:effectLst>
              <a:outerShdw dist="38100" dir="2700000" algn="tl" rotWithShape="0">
                <a:schemeClr val="accent2"/>
              </a:outerShdw>
            </a:effectLst>
          </a:endParaRPr>
        </a:p>
      </xdr:txBody>
    </xdr:sp>
    <xdr:clientData/>
  </xdr:oneCellAnchor>
  <xdr:twoCellAnchor editAs="oneCell">
    <xdr:from>
      <xdr:col>42</xdr:col>
      <xdr:colOff>400050</xdr:colOff>
      <xdr:row>9</xdr:row>
      <xdr:rowOff>0</xdr:rowOff>
    </xdr:from>
    <xdr:to>
      <xdr:col>46</xdr:col>
      <xdr:colOff>61804</xdr:colOff>
      <xdr:row>18</xdr:row>
      <xdr:rowOff>38100</xdr:rowOff>
    </xdr:to>
    <xdr:pic macro="[0]!College_Statistics">
      <xdr:nvPicPr>
        <xdr:cNvPr id="3" name="Graphic 2" descr="Schoolhouse with solid fill">
          <a:extLst>
            <a:ext uri="{FF2B5EF4-FFF2-40B4-BE49-F238E27FC236}">
              <a16:creationId xmlns:a16="http://schemas.microsoft.com/office/drawing/2014/main" id="{E6FF59FF-EF45-4796-AFF5-70A71F378D0D}"/>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6003250" y="1714500"/>
          <a:ext cx="2100154" cy="1752600"/>
        </a:xfrm>
        <a:prstGeom prst="rect">
          <a:avLst/>
        </a:prstGeom>
      </xdr:spPr>
    </xdr:pic>
    <xdr:clientData/>
  </xdr:twoCellAnchor>
  <xdr:twoCellAnchor editAs="oneCell">
    <xdr:from>
      <xdr:col>42</xdr:col>
      <xdr:colOff>514350</xdr:colOff>
      <xdr:row>17</xdr:row>
      <xdr:rowOff>152400</xdr:rowOff>
    </xdr:from>
    <xdr:to>
      <xdr:col>45</xdr:col>
      <xdr:colOff>514350</xdr:colOff>
      <xdr:row>27</xdr:row>
      <xdr:rowOff>76200</xdr:rowOff>
    </xdr:to>
    <xdr:pic macro="[0]!Module2.Healthcare">
      <xdr:nvPicPr>
        <xdr:cNvPr id="4" name="Graphic 3" descr="Heart with pulse with solid fill">
          <a:extLst>
            <a:ext uri="{FF2B5EF4-FFF2-40B4-BE49-F238E27FC236}">
              <a16:creationId xmlns:a16="http://schemas.microsoft.com/office/drawing/2014/main" id="{6DBD78B9-329E-F0B9-F046-E91CC360EA39}"/>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26117550" y="3390900"/>
          <a:ext cx="1828800" cy="1828800"/>
        </a:xfrm>
        <a:prstGeom prst="rect">
          <a:avLst/>
        </a:prstGeom>
      </xdr:spPr>
    </xdr:pic>
    <xdr:clientData/>
  </xdr:twoCellAnchor>
  <xdr:twoCellAnchor editAs="oneCell">
    <xdr:from>
      <xdr:col>43</xdr:col>
      <xdr:colOff>0</xdr:colOff>
      <xdr:row>26</xdr:row>
      <xdr:rowOff>38100</xdr:rowOff>
    </xdr:from>
    <xdr:to>
      <xdr:col>46</xdr:col>
      <xdr:colOff>0</xdr:colOff>
      <xdr:row>35</xdr:row>
      <xdr:rowOff>152400</xdr:rowOff>
    </xdr:to>
    <xdr:pic macro="[0]!Module2.Weather_Report">
      <xdr:nvPicPr>
        <xdr:cNvPr id="6" name="Graphic 5" descr="Partial sun with solid fill">
          <a:extLst>
            <a:ext uri="{FF2B5EF4-FFF2-40B4-BE49-F238E27FC236}">
              <a16:creationId xmlns:a16="http://schemas.microsoft.com/office/drawing/2014/main" id="{7F4C6A7E-2087-1008-3DD4-2BECDE920DDC}"/>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26212800" y="4991100"/>
          <a:ext cx="1828800" cy="1828800"/>
        </a:xfrm>
        <a:prstGeom prst="rect">
          <a:avLst/>
        </a:prstGeom>
      </xdr:spPr>
    </xdr:pic>
    <xdr:clientData/>
  </xdr:twoCellAnchor>
  <xdr:twoCellAnchor editAs="oneCell">
    <xdr:from>
      <xdr:col>43</xdr:col>
      <xdr:colOff>76200</xdr:colOff>
      <xdr:row>54</xdr:row>
      <xdr:rowOff>57150</xdr:rowOff>
    </xdr:from>
    <xdr:to>
      <xdr:col>46</xdr:col>
      <xdr:colOff>76200</xdr:colOff>
      <xdr:row>63</xdr:row>
      <xdr:rowOff>171450</xdr:rowOff>
    </xdr:to>
    <xdr:pic macro="[0]!MasterData">
      <xdr:nvPicPr>
        <xdr:cNvPr id="10" name="Graphic 9" descr="Database with solid fill">
          <a:extLst>
            <a:ext uri="{FF2B5EF4-FFF2-40B4-BE49-F238E27FC236}">
              <a16:creationId xmlns:a16="http://schemas.microsoft.com/office/drawing/2014/main" id="{8D88F918-305E-8DAA-86B5-F580BB0344C8}"/>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26289000" y="10344150"/>
          <a:ext cx="1828800" cy="1828800"/>
        </a:xfrm>
        <a:prstGeom prst="rect">
          <a:avLst/>
        </a:prstGeom>
      </xdr:spPr>
    </xdr:pic>
    <xdr:clientData/>
  </xdr:twoCellAnchor>
  <xdr:twoCellAnchor>
    <xdr:from>
      <xdr:col>41</xdr:col>
      <xdr:colOff>400050</xdr:colOff>
      <xdr:row>37</xdr:row>
      <xdr:rowOff>38100</xdr:rowOff>
    </xdr:from>
    <xdr:to>
      <xdr:col>47</xdr:col>
      <xdr:colOff>400050</xdr:colOff>
      <xdr:row>41</xdr:row>
      <xdr:rowOff>133350</xdr:rowOff>
    </xdr:to>
    <xdr:sp macro="[0]!CrimeIndex" textlink="">
      <xdr:nvSpPr>
        <xdr:cNvPr id="2" name="TextBox 1">
          <a:extLst>
            <a:ext uri="{FF2B5EF4-FFF2-40B4-BE49-F238E27FC236}">
              <a16:creationId xmlns:a16="http://schemas.microsoft.com/office/drawing/2014/main" id="{5A9A5355-CC61-50CF-BCFE-763604BDA9EC}"/>
            </a:ext>
          </a:extLst>
        </xdr:cNvPr>
        <xdr:cNvSpPr txBox="1"/>
      </xdr:nvSpPr>
      <xdr:spPr>
        <a:xfrm>
          <a:off x="25393650" y="7086600"/>
          <a:ext cx="3657600" cy="857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5400" b="1">
              <a:ln>
                <a:solidFill>
                  <a:schemeClr val="bg1"/>
                </a:solidFill>
              </a:ln>
              <a:solidFill>
                <a:schemeClr val="tx1"/>
              </a:solidFill>
            </a:rPr>
            <a:t>Crime</a:t>
          </a:r>
          <a:r>
            <a:rPr lang="en-US" sz="5400" b="1">
              <a:ln>
                <a:solidFill>
                  <a:schemeClr val="tx1"/>
                </a:solidFill>
              </a:ln>
              <a:solidFill>
                <a:schemeClr val="tx1"/>
              </a:solidFill>
            </a:rPr>
            <a:t> </a:t>
          </a:r>
          <a:r>
            <a:rPr lang="en-US" sz="5400" b="1">
              <a:ln>
                <a:solidFill>
                  <a:schemeClr val="bg1"/>
                </a:solidFill>
              </a:ln>
              <a:solidFill>
                <a:schemeClr val="tx1"/>
              </a:solidFill>
            </a:rPr>
            <a:t>Index</a:t>
          </a:r>
        </a:p>
      </xdr:txBody>
    </xdr:sp>
    <xdr:clientData/>
  </xdr:twoCellAnchor>
  <xdr:twoCellAnchor editAs="oneCell">
    <xdr:from>
      <xdr:col>43</xdr:col>
      <xdr:colOff>19050</xdr:colOff>
      <xdr:row>43</xdr:row>
      <xdr:rowOff>95250</xdr:rowOff>
    </xdr:from>
    <xdr:to>
      <xdr:col>46</xdr:col>
      <xdr:colOff>19050</xdr:colOff>
      <xdr:row>53</xdr:row>
      <xdr:rowOff>19050</xdr:rowOff>
    </xdr:to>
    <xdr:pic macro="[0]!Unemployment">
      <xdr:nvPicPr>
        <xdr:cNvPr id="7" name="Graphic 6" descr="Briefcase with solid fill">
          <a:extLst>
            <a:ext uri="{FF2B5EF4-FFF2-40B4-BE49-F238E27FC236}">
              <a16:creationId xmlns:a16="http://schemas.microsoft.com/office/drawing/2014/main" id="{C018A5C9-E299-4C3E-BF6A-F2F82F94C8A9}"/>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6231850" y="8286750"/>
          <a:ext cx="1828800" cy="1828800"/>
        </a:xfrm>
        <a:prstGeom prst="rect">
          <a:avLst/>
        </a:prstGeom>
      </xdr:spPr>
    </xdr:pic>
    <xdr:clientData/>
  </xdr:twoCellAnchor>
  <xdr:twoCellAnchor>
    <xdr:from>
      <xdr:col>0</xdr:col>
      <xdr:colOff>195262</xdr:colOff>
      <xdr:row>73</xdr:row>
      <xdr:rowOff>166687</xdr:rowOff>
    </xdr:from>
    <xdr:to>
      <xdr:col>5</xdr:col>
      <xdr:colOff>119062</xdr:colOff>
      <xdr:row>88</xdr:row>
      <xdr:rowOff>185737</xdr:rowOff>
    </xdr:to>
    <xdr:sp macro="" textlink="">
      <xdr:nvSpPr>
        <xdr:cNvPr id="5" name="Rectangle: Rounded Corners 4">
          <a:extLst>
            <a:ext uri="{FF2B5EF4-FFF2-40B4-BE49-F238E27FC236}">
              <a16:creationId xmlns:a16="http://schemas.microsoft.com/office/drawing/2014/main" id="{9E1C025B-5F86-DC86-3870-009402CA8E83}"/>
            </a:ext>
          </a:extLst>
        </xdr:cNvPr>
        <xdr:cNvSpPr/>
      </xdr:nvSpPr>
      <xdr:spPr>
        <a:xfrm>
          <a:off x="195262" y="14073187"/>
          <a:ext cx="2971800" cy="287655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2800" b="1" cap="none" spc="0">
              <a:ln w="0"/>
              <a:solidFill>
                <a:schemeClr val="bg1"/>
              </a:solidFill>
              <a:effectLst>
                <a:outerShdw blurRad="38100" dist="25400" dir="5400000" algn="ctr" rotWithShape="0">
                  <a:srgbClr val="6E747A">
                    <a:alpha val="43000"/>
                  </a:srgbClr>
                </a:outerShdw>
              </a:effectLst>
            </a:rPr>
            <a:t>Wyoming has the highest College</a:t>
          </a:r>
          <a:r>
            <a:rPr lang="en-US" sz="2800" b="1" cap="none" spc="0" baseline="0">
              <a:ln w="0"/>
              <a:solidFill>
                <a:schemeClr val="bg1"/>
              </a:solidFill>
              <a:effectLst>
                <a:outerShdw blurRad="38100" dist="25400" dir="5400000" algn="ctr" rotWithShape="0">
                  <a:srgbClr val="6E747A">
                    <a:alpha val="43000"/>
                  </a:srgbClr>
                </a:outerShdw>
              </a:effectLst>
            </a:rPr>
            <a:t> Acceptance Rate: 97.01%</a:t>
          </a:r>
          <a:endParaRPr lang="en-US" sz="2800" b="1" cap="none" spc="0">
            <a:ln w="0"/>
            <a:solidFill>
              <a:schemeClr val="bg1"/>
            </a:solidFill>
            <a:effectLst>
              <a:outerShdw blurRad="38100" dist="25400" dir="5400000" algn="ctr" rotWithShape="0">
                <a:srgbClr val="6E747A">
                  <a:alpha val="43000"/>
                </a:srgbClr>
              </a:outerShdw>
            </a:effectLst>
          </a:endParaRPr>
        </a:p>
      </xdr:txBody>
    </xdr:sp>
    <xdr:clientData/>
  </xdr:twoCellAnchor>
  <xdr:twoCellAnchor>
    <xdr:from>
      <xdr:col>5</xdr:col>
      <xdr:colOff>319087</xdr:colOff>
      <xdr:row>74</xdr:row>
      <xdr:rowOff>23813</xdr:rowOff>
    </xdr:from>
    <xdr:to>
      <xdr:col>10</xdr:col>
      <xdr:colOff>242887</xdr:colOff>
      <xdr:row>89</xdr:row>
      <xdr:rowOff>42863</xdr:rowOff>
    </xdr:to>
    <xdr:sp macro="" textlink="">
      <xdr:nvSpPr>
        <xdr:cNvPr id="8" name="Rectangle: Rounded Corners 7">
          <a:extLst>
            <a:ext uri="{FF2B5EF4-FFF2-40B4-BE49-F238E27FC236}">
              <a16:creationId xmlns:a16="http://schemas.microsoft.com/office/drawing/2014/main" id="{2EACE8D8-12A4-482F-858D-B71E83D64D7A}"/>
            </a:ext>
          </a:extLst>
        </xdr:cNvPr>
        <xdr:cNvSpPr/>
      </xdr:nvSpPr>
      <xdr:spPr>
        <a:xfrm>
          <a:off x="3367087" y="14120813"/>
          <a:ext cx="2971800" cy="287655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2800" b="1" cap="none" spc="0">
              <a:ln w="0"/>
              <a:solidFill>
                <a:schemeClr val="bg1"/>
              </a:solidFill>
              <a:effectLst>
                <a:outerShdw blurRad="38100" dist="25400" dir="5400000" algn="ctr" rotWithShape="0">
                  <a:srgbClr val="6E747A">
                    <a:alpha val="43000"/>
                  </a:srgbClr>
                </a:outerShdw>
              </a:effectLst>
            </a:rPr>
            <a:t>Vermount has the highest College</a:t>
          </a:r>
          <a:r>
            <a:rPr lang="en-US" sz="2800" b="1" cap="none" spc="0" baseline="0">
              <a:ln w="0"/>
              <a:solidFill>
                <a:schemeClr val="bg1"/>
              </a:solidFill>
              <a:effectLst>
                <a:outerShdw blurRad="38100" dist="25400" dir="5400000" algn="ctr" rotWithShape="0">
                  <a:srgbClr val="6E747A">
                    <a:alpha val="43000"/>
                  </a:srgbClr>
                </a:outerShdw>
              </a:effectLst>
            </a:rPr>
            <a:t> Tution Fees: </a:t>
          </a:r>
        </a:p>
        <a:p>
          <a:pPr algn="ctr"/>
          <a:r>
            <a:rPr lang="en-US" sz="2800" b="1" cap="none" spc="0" baseline="0">
              <a:ln w="0"/>
              <a:solidFill>
                <a:schemeClr val="bg1"/>
              </a:solidFill>
              <a:effectLst>
                <a:outerShdw blurRad="38100" dist="25400" dir="5400000" algn="ctr" rotWithShape="0">
                  <a:srgbClr val="6E747A">
                    <a:alpha val="43000"/>
                  </a:srgbClr>
                </a:outerShdw>
              </a:effectLst>
            </a:rPr>
            <a:t>$41,456.00</a:t>
          </a:r>
          <a:endParaRPr lang="en-US" sz="2800" b="1" cap="none" spc="0">
            <a:ln w="0"/>
            <a:solidFill>
              <a:schemeClr val="bg1"/>
            </a:solidFill>
            <a:effectLst>
              <a:outerShdw blurRad="38100" dist="25400" dir="5400000" algn="ctr" rotWithShape="0">
                <a:srgbClr val="6E747A">
                  <a:alpha val="43000"/>
                </a:srgbClr>
              </a:outerShdw>
            </a:effectLst>
          </a:endParaRPr>
        </a:p>
      </xdr:txBody>
    </xdr:sp>
    <xdr:clientData/>
  </xdr:twoCellAnchor>
  <xdr:twoCellAnchor>
    <xdr:from>
      <xdr:col>10</xdr:col>
      <xdr:colOff>447675</xdr:colOff>
      <xdr:row>74</xdr:row>
      <xdr:rowOff>57151</xdr:rowOff>
    </xdr:from>
    <xdr:to>
      <xdr:col>15</xdr:col>
      <xdr:colOff>371475</xdr:colOff>
      <xdr:row>89</xdr:row>
      <xdr:rowOff>76201</xdr:rowOff>
    </xdr:to>
    <xdr:sp macro="" textlink="">
      <xdr:nvSpPr>
        <xdr:cNvPr id="9" name="Rectangle: Rounded Corners 8">
          <a:extLst>
            <a:ext uri="{FF2B5EF4-FFF2-40B4-BE49-F238E27FC236}">
              <a16:creationId xmlns:a16="http://schemas.microsoft.com/office/drawing/2014/main" id="{C6A3D587-AD68-43C8-AD57-E6A82357FC81}"/>
            </a:ext>
          </a:extLst>
        </xdr:cNvPr>
        <xdr:cNvSpPr/>
      </xdr:nvSpPr>
      <xdr:spPr>
        <a:xfrm>
          <a:off x="6543675" y="14154151"/>
          <a:ext cx="2971800" cy="287655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2800" b="1" cap="none" spc="0">
              <a:ln w="0"/>
              <a:solidFill>
                <a:schemeClr val="bg1"/>
              </a:solidFill>
              <a:effectLst>
                <a:outerShdw blurRad="38100" dist="25400" dir="5400000" algn="ctr" rotWithShape="0">
                  <a:srgbClr val="6E747A">
                    <a:alpha val="43000"/>
                  </a:srgbClr>
                </a:outerShdw>
              </a:effectLst>
            </a:rPr>
            <a:t>California has the highest Healthcare</a:t>
          </a:r>
          <a:r>
            <a:rPr lang="en-US" sz="2800" b="1" cap="none" spc="0" baseline="0">
              <a:ln w="0"/>
              <a:solidFill>
                <a:schemeClr val="bg1"/>
              </a:solidFill>
              <a:effectLst>
                <a:outerShdw blurRad="38100" dist="25400" dir="5400000" algn="ctr" rotWithShape="0">
                  <a:srgbClr val="6E747A">
                    <a:alpha val="43000"/>
                  </a:srgbClr>
                </a:outerShdw>
              </a:effectLst>
            </a:rPr>
            <a:t> Spendings: $405,451.00</a:t>
          </a:r>
          <a:endParaRPr lang="en-US" sz="2800" b="1" cap="none" spc="0">
            <a:ln w="0"/>
            <a:solidFill>
              <a:schemeClr val="bg1"/>
            </a:solidFill>
            <a:effectLst>
              <a:outerShdw blurRad="38100" dist="25400" dir="5400000" algn="ctr" rotWithShape="0">
                <a:srgbClr val="6E747A">
                  <a:alpha val="43000"/>
                </a:srgbClr>
              </a:outerShdw>
            </a:effectLst>
          </a:endParaRPr>
        </a:p>
      </xdr:txBody>
    </xdr:sp>
    <xdr:clientData/>
  </xdr:twoCellAnchor>
  <xdr:twoCellAnchor>
    <xdr:from>
      <xdr:col>16</xdr:col>
      <xdr:colOff>0</xdr:colOff>
      <xdr:row>74</xdr:row>
      <xdr:rowOff>76201</xdr:rowOff>
    </xdr:from>
    <xdr:to>
      <xdr:col>20</xdr:col>
      <xdr:colOff>533400</xdr:colOff>
      <xdr:row>89</xdr:row>
      <xdr:rowOff>95251</xdr:rowOff>
    </xdr:to>
    <xdr:sp macro="" textlink="">
      <xdr:nvSpPr>
        <xdr:cNvPr id="11" name="Rectangle: Rounded Corners 10">
          <a:extLst>
            <a:ext uri="{FF2B5EF4-FFF2-40B4-BE49-F238E27FC236}">
              <a16:creationId xmlns:a16="http://schemas.microsoft.com/office/drawing/2014/main" id="{F60D2CB4-2498-4082-9C20-70A38038831A}"/>
            </a:ext>
          </a:extLst>
        </xdr:cNvPr>
        <xdr:cNvSpPr/>
      </xdr:nvSpPr>
      <xdr:spPr>
        <a:xfrm>
          <a:off x="9753600" y="14173201"/>
          <a:ext cx="2971800" cy="287655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2800" b="1" cap="none" spc="0">
              <a:ln w="0"/>
              <a:solidFill>
                <a:schemeClr val="bg1"/>
              </a:solidFill>
              <a:effectLst>
                <a:outerShdw blurRad="38100" dist="25400" dir="5400000" algn="ctr" rotWithShape="0">
                  <a:srgbClr val="6E747A">
                    <a:alpha val="43000"/>
                  </a:srgbClr>
                </a:outerShdw>
              </a:effectLst>
            </a:rPr>
            <a:t>New</a:t>
          </a:r>
          <a:r>
            <a:rPr lang="en-US" sz="2800" b="1" cap="none" spc="0" baseline="0">
              <a:ln w="0"/>
              <a:solidFill>
                <a:schemeClr val="bg1"/>
              </a:solidFill>
              <a:effectLst>
                <a:outerShdw blurRad="38100" dist="25400" dir="5400000" algn="ctr" rotWithShape="0">
                  <a:srgbClr val="6E747A">
                    <a:alpha val="43000"/>
                  </a:srgbClr>
                </a:outerShdw>
              </a:effectLst>
            </a:rPr>
            <a:t> Mexico</a:t>
          </a:r>
          <a:r>
            <a:rPr lang="en-US" sz="2800" b="1" cap="none" spc="0">
              <a:ln w="0"/>
              <a:solidFill>
                <a:schemeClr val="bg1"/>
              </a:solidFill>
              <a:effectLst>
                <a:outerShdw blurRad="38100" dist="25400" dir="5400000" algn="ctr" rotWithShape="0">
                  <a:srgbClr val="6E747A">
                    <a:alpha val="43000"/>
                  </a:srgbClr>
                </a:outerShdw>
              </a:effectLst>
            </a:rPr>
            <a:t> has the highest Crime</a:t>
          </a:r>
          <a:r>
            <a:rPr lang="en-US" sz="2800" b="1" cap="none" spc="0" baseline="0">
              <a:ln w="0"/>
              <a:solidFill>
                <a:schemeClr val="bg1"/>
              </a:solidFill>
              <a:effectLst>
                <a:outerShdw blurRad="38100" dist="25400" dir="5400000" algn="ctr" rotWithShape="0">
                  <a:srgbClr val="6E747A">
                    <a:alpha val="43000"/>
                  </a:srgbClr>
                </a:outerShdw>
              </a:effectLst>
            </a:rPr>
            <a:t> Rate: </a:t>
          </a:r>
        </a:p>
        <a:p>
          <a:pPr algn="ctr"/>
          <a:r>
            <a:rPr lang="en-US" sz="2800" b="1" cap="none" spc="0" baseline="0">
              <a:ln w="0"/>
              <a:solidFill>
                <a:schemeClr val="bg1"/>
              </a:solidFill>
              <a:effectLst>
                <a:outerShdw blurRad="38100" dist="25400" dir="5400000" algn="ctr" rotWithShape="0">
                  <a:srgbClr val="6E747A">
                    <a:alpha val="43000"/>
                  </a:srgbClr>
                </a:outerShdw>
              </a:effectLst>
            </a:rPr>
            <a:t>6462 per 100K</a:t>
          </a:r>
          <a:endParaRPr lang="en-US" sz="2800" b="1" cap="none" spc="0">
            <a:ln w="0"/>
            <a:solidFill>
              <a:schemeClr val="bg1"/>
            </a:solidFill>
            <a:effectLst>
              <a:outerShdw blurRad="38100" dist="25400" dir="5400000" algn="ctr" rotWithShape="0">
                <a:srgbClr val="6E747A">
                  <a:alpha val="43000"/>
                </a:srgbClr>
              </a:outerShdw>
            </a:effectLst>
          </a:endParaRPr>
        </a:p>
      </xdr:txBody>
    </xdr:sp>
    <xdr:clientData/>
  </xdr:twoCellAnchor>
  <xdr:twoCellAnchor>
    <xdr:from>
      <xdr:col>21</xdr:col>
      <xdr:colOff>171450</xdr:colOff>
      <xdr:row>74</xdr:row>
      <xdr:rowOff>76201</xdr:rowOff>
    </xdr:from>
    <xdr:to>
      <xdr:col>26</xdr:col>
      <xdr:colOff>95250</xdr:colOff>
      <xdr:row>89</xdr:row>
      <xdr:rowOff>95251</xdr:rowOff>
    </xdr:to>
    <xdr:sp macro="" textlink="">
      <xdr:nvSpPr>
        <xdr:cNvPr id="12" name="Rectangle: Rounded Corners 11">
          <a:extLst>
            <a:ext uri="{FF2B5EF4-FFF2-40B4-BE49-F238E27FC236}">
              <a16:creationId xmlns:a16="http://schemas.microsoft.com/office/drawing/2014/main" id="{386B75AF-E5DB-4E1C-B7AF-A3DCF23F171E}"/>
            </a:ext>
          </a:extLst>
        </xdr:cNvPr>
        <xdr:cNvSpPr/>
      </xdr:nvSpPr>
      <xdr:spPr>
        <a:xfrm>
          <a:off x="12973050" y="14173201"/>
          <a:ext cx="2971800" cy="287655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2800" b="1" cap="none" spc="0">
              <a:ln w="0"/>
              <a:solidFill>
                <a:schemeClr val="bg1"/>
              </a:solidFill>
              <a:effectLst>
                <a:outerShdw blurRad="38100" dist="25400" dir="5400000" algn="ctr" rotWithShape="0">
                  <a:srgbClr val="6E747A">
                    <a:alpha val="43000"/>
                  </a:srgbClr>
                </a:outerShdw>
              </a:effectLst>
            </a:rPr>
            <a:t>Massachusetts has the Lowest Crime</a:t>
          </a:r>
          <a:r>
            <a:rPr lang="en-US" sz="2800" b="1" cap="none" spc="0" baseline="0">
              <a:ln w="0"/>
              <a:solidFill>
                <a:schemeClr val="bg1"/>
              </a:solidFill>
              <a:effectLst>
                <a:outerShdw blurRad="38100" dist="25400" dir="5400000" algn="ctr" rotWithShape="0">
                  <a:srgbClr val="6E747A">
                    <a:alpha val="43000"/>
                  </a:srgbClr>
                </a:outerShdw>
              </a:effectLst>
            </a:rPr>
            <a:t> Rate: </a:t>
          </a:r>
        </a:p>
        <a:p>
          <a:pPr algn="ctr"/>
          <a:r>
            <a:rPr lang="en-US" sz="2800" b="1" cap="none" spc="0" baseline="0">
              <a:ln w="0"/>
              <a:solidFill>
                <a:schemeClr val="bg1"/>
              </a:solidFill>
              <a:effectLst>
                <a:outerShdw blurRad="38100" dist="25400" dir="5400000" algn="ctr" rotWithShape="0">
                  <a:srgbClr val="6E747A">
                    <a:alpha val="43000"/>
                  </a:srgbClr>
                </a:outerShdw>
              </a:effectLst>
            </a:rPr>
            <a:t>2415 per 100K</a:t>
          </a:r>
          <a:endParaRPr lang="en-US" sz="2800" b="1" cap="none" spc="0">
            <a:ln w="0"/>
            <a:solidFill>
              <a:schemeClr val="bg1"/>
            </a:solidFill>
            <a:effectLst>
              <a:outerShdw blurRad="38100" dist="25400" dir="5400000" algn="ctr" rotWithShape="0">
                <a:srgbClr val="6E747A">
                  <a:alpha val="43000"/>
                </a:srgbClr>
              </a:outerShdw>
            </a:effectLst>
          </a:endParaRPr>
        </a:p>
      </xdr:txBody>
    </xdr:sp>
    <xdr:clientData/>
  </xdr:twoCellAnchor>
  <xdr:twoCellAnchor>
    <xdr:from>
      <xdr:col>26</xdr:col>
      <xdr:colOff>285750</xdr:colOff>
      <xdr:row>74</xdr:row>
      <xdr:rowOff>95251</xdr:rowOff>
    </xdr:from>
    <xdr:to>
      <xdr:col>31</xdr:col>
      <xdr:colOff>209550</xdr:colOff>
      <xdr:row>89</xdr:row>
      <xdr:rowOff>114301</xdr:rowOff>
    </xdr:to>
    <xdr:sp macro="" textlink="">
      <xdr:nvSpPr>
        <xdr:cNvPr id="13" name="Rectangle: Rounded Corners 12">
          <a:extLst>
            <a:ext uri="{FF2B5EF4-FFF2-40B4-BE49-F238E27FC236}">
              <a16:creationId xmlns:a16="http://schemas.microsoft.com/office/drawing/2014/main" id="{374B2823-914C-433F-BC93-384B54922D6F}"/>
            </a:ext>
          </a:extLst>
        </xdr:cNvPr>
        <xdr:cNvSpPr/>
      </xdr:nvSpPr>
      <xdr:spPr>
        <a:xfrm>
          <a:off x="16135350" y="14192251"/>
          <a:ext cx="2971800" cy="287655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2800" b="1" cap="none" spc="0">
              <a:ln w="0"/>
              <a:solidFill>
                <a:schemeClr val="bg1"/>
              </a:solidFill>
              <a:effectLst>
                <a:outerShdw blurRad="38100" dist="25400" dir="5400000" algn="ctr" rotWithShape="0">
                  <a:srgbClr val="6E747A">
                    <a:alpha val="43000"/>
                  </a:srgbClr>
                </a:outerShdw>
              </a:effectLst>
            </a:rPr>
            <a:t>Florida has the Highest</a:t>
          </a:r>
          <a:r>
            <a:rPr lang="en-US" sz="2800" b="1" cap="none" spc="0" baseline="0">
              <a:ln w="0"/>
              <a:solidFill>
                <a:schemeClr val="bg1"/>
              </a:solidFill>
              <a:effectLst>
                <a:outerShdw blurRad="38100" dist="25400" dir="5400000" algn="ctr" rotWithShape="0">
                  <a:srgbClr val="6E747A">
                    <a:alpha val="43000"/>
                  </a:srgbClr>
                </a:outerShdw>
              </a:effectLst>
            </a:rPr>
            <a:t> Average</a:t>
          </a:r>
          <a:r>
            <a:rPr lang="en-US" sz="2800" b="1" cap="none" spc="0">
              <a:ln w="0"/>
              <a:solidFill>
                <a:schemeClr val="bg1"/>
              </a:solidFill>
              <a:effectLst>
                <a:outerShdw blurRad="38100" dist="25400" dir="5400000" algn="ctr" rotWithShape="0">
                  <a:srgbClr val="6E747A">
                    <a:alpha val="43000"/>
                  </a:srgbClr>
                </a:outerShdw>
              </a:effectLst>
            </a:rPr>
            <a:t> Tempearture:</a:t>
          </a:r>
          <a:r>
            <a:rPr lang="en-US" sz="2800" b="1" cap="none" spc="0" baseline="0">
              <a:ln w="0"/>
              <a:solidFill>
                <a:schemeClr val="bg1"/>
              </a:solidFill>
              <a:effectLst>
                <a:outerShdw blurRad="38100" dist="25400" dir="5400000" algn="ctr" rotWithShape="0">
                  <a:srgbClr val="6E747A">
                    <a:alpha val="43000"/>
                  </a:srgbClr>
                </a:outerShdw>
              </a:effectLst>
            </a:rPr>
            <a:t> </a:t>
          </a:r>
        </a:p>
        <a:p>
          <a:pPr algn="ctr"/>
          <a:r>
            <a:rPr lang="en-US" sz="2800" b="1" cap="none" spc="0" baseline="0">
              <a:ln w="0"/>
              <a:solidFill>
                <a:schemeClr val="bg1"/>
              </a:solidFill>
              <a:effectLst>
                <a:outerShdw blurRad="38100" dist="25400" dir="5400000" algn="ctr" rotWithShape="0">
                  <a:srgbClr val="6E747A">
                    <a:alpha val="43000"/>
                  </a:srgbClr>
                </a:outerShdw>
              </a:effectLst>
            </a:rPr>
            <a:t>70.7 F</a:t>
          </a:r>
          <a:endParaRPr lang="en-US" sz="2800" b="1" cap="none" spc="0">
            <a:ln w="0"/>
            <a:solidFill>
              <a:schemeClr val="bg1"/>
            </a:solidFill>
            <a:effectLst>
              <a:outerShdw blurRad="38100" dist="25400" dir="5400000" algn="ctr" rotWithShape="0">
                <a:srgbClr val="6E747A">
                  <a:alpha val="43000"/>
                </a:srgbClr>
              </a:outerShdw>
            </a:effectLst>
          </a:endParaRPr>
        </a:p>
      </xdr:txBody>
    </xdr:sp>
    <xdr:clientData/>
  </xdr:twoCellAnchor>
  <xdr:twoCellAnchor>
    <xdr:from>
      <xdr:col>31</xdr:col>
      <xdr:colOff>457200</xdr:colOff>
      <xdr:row>74</xdr:row>
      <xdr:rowOff>133351</xdr:rowOff>
    </xdr:from>
    <xdr:to>
      <xdr:col>36</xdr:col>
      <xdr:colOff>381000</xdr:colOff>
      <xdr:row>89</xdr:row>
      <xdr:rowOff>152401</xdr:rowOff>
    </xdr:to>
    <xdr:sp macro="" textlink="">
      <xdr:nvSpPr>
        <xdr:cNvPr id="14" name="Rectangle: Rounded Corners 13">
          <a:extLst>
            <a:ext uri="{FF2B5EF4-FFF2-40B4-BE49-F238E27FC236}">
              <a16:creationId xmlns:a16="http://schemas.microsoft.com/office/drawing/2014/main" id="{9C480688-184D-41F0-9871-19FA35A2F5B4}"/>
            </a:ext>
          </a:extLst>
        </xdr:cNvPr>
        <xdr:cNvSpPr/>
      </xdr:nvSpPr>
      <xdr:spPr>
        <a:xfrm>
          <a:off x="19354800" y="14230351"/>
          <a:ext cx="2971800" cy="287655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2800" b="1" cap="none" spc="0">
              <a:ln w="0"/>
              <a:solidFill>
                <a:schemeClr val="bg1"/>
              </a:solidFill>
              <a:effectLst>
                <a:outerShdw blurRad="38100" dist="25400" dir="5400000" algn="ctr" rotWithShape="0">
                  <a:srgbClr val="6E747A">
                    <a:alpha val="43000"/>
                  </a:srgbClr>
                </a:outerShdw>
              </a:effectLst>
            </a:rPr>
            <a:t>Nevada has the Highest</a:t>
          </a:r>
          <a:r>
            <a:rPr lang="en-US" sz="2800" b="1" cap="none" spc="0" baseline="0">
              <a:ln w="0"/>
              <a:solidFill>
                <a:schemeClr val="bg1"/>
              </a:solidFill>
              <a:effectLst>
                <a:outerShdw blurRad="38100" dist="25400" dir="5400000" algn="ctr" rotWithShape="0">
                  <a:srgbClr val="6E747A">
                    <a:alpha val="43000"/>
                  </a:srgbClr>
                </a:outerShdw>
              </a:effectLst>
            </a:rPr>
            <a:t> Unemployment</a:t>
          </a:r>
        </a:p>
        <a:p>
          <a:pPr algn="ctr"/>
          <a:r>
            <a:rPr lang="en-US" sz="2800" b="1" cap="none" spc="0" baseline="0">
              <a:ln w="0"/>
              <a:solidFill>
                <a:schemeClr val="bg1"/>
              </a:solidFill>
              <a:effectLst>
                <a:outerShdw blurRad="38100" dist="25400" dir="5400000" algn="ctr" rotWithShape="0">
                  <a:srgbClr val="6E747A">
                    <a:alpha val="43000"/>
                  </a:srgbClr>
                </a:outerShdw>
              </a:effectLst>
            </a:rPr>
            <a:t>Rate</a:t>
          </a:r>
          <a:r>
            <a:rPr lang="en-US" sz="2800" b="1" cap="none" spc="0">
              <a:ln w="0"/>
              <a:solidFill>
                <a:schemeClr val="bg1"/>
              </a:solidFill>
              <a:effectLst>
                <a:outerShdw blurRad="38100" dist="25400" dir="5400000" algn="ctr" rotWithShape="0">
                  <a:srgbClr val="6E747A">
                    <a:alpha val="43000"/>
                  </a:srgbClr>
                </a:outerShdw>
              </a:effectLst>
            </a:rPr>
            <a:t>:</a:t>
          </a:r>
          <a:r>
            <a:rPr lang="en-US" sz="2800" b="1" cap="none" spc="0" baseline="0">
              <a:ln w="0"/>
              <a:solidFill>
                <a:schemeClr val="bg1"/>
              </a:solidFill>
              <a:effectLst>
                <a:outerShdw blurRad="38100" dist="25400" dir="5400000" algn="ctr" rotWithShape="0">
                  <a:srgbClr val="6E747A">
                    <a:alpha val="43000"/>
                  </a:srgbClr>
                </a:outerShdw>
              </a:effectLst>
            </a:rPr>
            <a:t> </a:t>
          </a:r>
        </a:p>
        <a:p>
          <a:pPr algn="ctr"/>
          <a:r>
            <a:rPr lang="en-US" sz="2800" b="1" cap="none" spc="0" baseline="0">
              <a:ln w="0"/>
              <a:solidFill>
                <a:schemeClr val="bg1"/>
              </a:solidFill>
              <a:effectLst>
                <a:outerShdw blurRad="38100" dist="25400" dir="5400000" algn="ctr" rotWithShape="0">
                  <a:srgbClr val="6E747A">
                    <a:alpha val="43000"/>
                  </a:srgbClr>
                </a:outerShdw>
              </a:effectLst>
            </a:rPr>
            <a:t>5.7%</a:t>
          </a:r>
          <a:endParaRPr lang="en-US" sz="2800" b="1" cap="none" spc="0">
            <a:ln w="0"/>
            <a:solidFill>
              <a:schemeClr val="bg1"/>
            </a:solidFill>
            <a:effectLst>
              <a:outerShdw blurRad="38100" dist="25400" dir="5400000" algn="ctr" rotWithShape="0">
                <a:srgbClr val="6E747A">
                  <a:alpha val="43000"/>
                </a:srgbClr>
              </a:outerShdw>
            </a:effectLst>
          </a:endParaRPr>
        </a:p>
      </xdr:txBody>
    </xdr:sp>
    <xdr:clientData/>
  </xdr:twoCellAnchor>
  <xdr:twoCellAnchor>
    <xdr:from>
      <xdr:col>37</xdr:col>
      <xdr:colOff>38100</xdr:colOff>
      <xdr:row>74</xdr:row>
      <xdr:rowOff>133351</xdr:rowOff>
    </xdr:from>
    <xdr:to>
      <xdr:col>41</xdr:col>
      <xdr:colOff>571500</xdr:colOff>
      <xdr:row>89</xdr:row>
      <xdr:rowOff>152401</xdr:rowOff>
    </xdr:to>
    <xdr:sp macro="" textlink="">
      <xdr:nvSpPr>
        <xdr:cNvPr id="15" name="Rectangle: Rounded Corners 14">
          <a:extLst>
            <a:ext uri="{FF2B5EF4-FFF2-40B4-BE49-F238E27FC236}">
              <a16:creationId xmlns:a16="http://schemas.microsoft.com/office/drawing/2014/main" id="{A8AA9F4D-971A-48D2-83F7-F48230CCBAF3}"/>
            </a:ext>
          </a:extLst>
        </xdr:cNvPr>
        <xdr:cNvSpPr/>
      </xdr:nvSpPr>
      <xdr:spPr>
        <a:xfrm>
          <a:off x="22593300" y="14230351"/>
          <a:ext cx="2971800" cy="287655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2400" b="1" cap="none" spc="0">
              <a:ln w="0"/>
              <a:solidFill>
                <a:schemeClr val="bg1"/>
              </a:solidFill>
              <a:effectLst>
                <a:outerShdw blurRad="38100" dist="25400" dir="5400000" algn="ctr" rotWithShape="0">
                  <a:srgbClr val="6E747A">
                    <a:alpha val="43000"/>
                  </a:srgbClr>
                </a:outerShdw>
              </a:effectLst>
            </a:rPr>
            <a:t>North and South</a:t>
          </a:r>
          <a:r>
            <a:rPr lang="en-US" sz="2400" b="1" cap="none" spc="0" baseline="0">
              <a:ln w="0"/>
              <a:solidFill>
                <a:schemeClr val="bg1"/>
              </a:solidFill>
              <a:effectLst>
                <a:outerShdw blurRad="38100" dist="25400" dir="5400000" algn="ctr" rotWithShape="0">
                  <a:srgbClr val="6E747A">
                    <a:alpha val="43000"/>
                  </a:srgbClr>
                </a:outerShdw>
              </a:effectLst>
            </a:rPr>
            <a:t> Dakota</a:t>
          </a:r>
          <a:r>
            <a:rPr lang="en-US" sz="2400" b="1" cap="none" spc="0">
              <a:ln w="0"/>
              <a:solidFill>
                <a:schemeClr val="bg1"/>
              </a:solidFill>
              <a:effectLst>
                <a:outerShdw blurRad="38100" dist="25400" dir="5400000" algn="ctr" rotWithShape="0">
                  <a:srgbClr val="6E747A">
                    <a:alpha val="43000"/>
                  </a:srgbClr>
                </a:outerShdw>
              </a:effectLst>
            </a:rPr>
            <a:t> has the Lowest</a:t>
          </a:r>
          <a:r>
            <a:rPr lang="en-US" sz="2400" b="1" cap="none" spc="0" baseline="0">
              <a:ln w="0"/>
              <a:solidFill>
                <a:schemeClr val="bg1"/>
              </a:solidFill>
              <a:effectLst>
                <a:outerShdw blurRad="38100" dist="25400" dir="5400000" algn="ctr" rotWithShape="0">
                  <a:srgbClr val="6E747A">
                    <a:alpha val="43000"/>
                  </a:srgbClr>
                </a:outerShdw>
              </a:effectLst>
            </a:rPr>
            <a:t> Unemployment</a:t>
          </a:r>
        </a:p>
        <a:p>
          <a:pPr algn="ctr"/>
          <a:r>
            <a:rPr lang="en-US" sz="2400" b="1" cap="none" spc="0" baseline="0">
              <a:ln w="0"/>
              <a:solidFill>
                <a:schemeClr val="bg1"/>
              </a:solidFill>
              <a:effectLst>
                <a:outerShdw blurRad="38100" dist="25400" dir="5400000" algn="ctr" rotWithShape="0">
                  <a:srgbClr val="6E747A">
                    <a:alpha val="43000"/>
                  </a:srgbClr>
                </a:outerShdw>
              </a:effectLst>
            </a:rPr>
            <a:t>Rate</a:t>
          </a:r>
          <a:r>
            <a:rPr lang="en-US" sz="2400" b="1" cap="none" spc="0">
              <a:ln w="0"/>
              <a:solidFill>
                <a:schemeClr val="bg1"/>
              </a:solidFill>
              <a:effectLst>
                <a:outerShdw blurRad="38100" dist="25400" dir="5400000" algn="ctr" rotWithShape="0">
                  <a:srgbClr val="6E747A">
                    <a:alpha val="43000"/>
                  </a:srgbClr>
                </a:outerShdw>
              </a:effectLst>
            </a:rPr>
            <a:t>:</a:t>
          </a:r>
          <a:r>
            <a:rPr lang="en-US" sz="2400" b="1" cap="none" spc="0" baseline="0">
              <a:ln w="0"/>
              <a:solidFill>
                <a:schemeClr val="bg1"/>
              </a:solidFill>
              <a:effectLst>
                <a:outerShdw blurRad="38100" dist="25400" dir="5400000" algn="ctr" rotWithShape="0">
                  <a:srgbClr val="6E747A">
                    <a:alpha val="43000"/>
                  </a:srgbClr>
                </a:outerShdw>
              </a:effectLst>
            </a:rPr>
            <a:t> </a:t>
          </a:r>
        </a:p>
        <a:p>
          <a:pPr algn="ctr"/>
          <a:r>
            <a:rPr lang="en-US" sz="2400" b="1" cap="none" spc="0" baseline="0">
              <a:ln w="0"/>
              <a:solidFill>
                <a:schemeClr val="bg1"/>
              </a:solidFill>
              <a:effectLst>
                <a:outerShdw blurRad="38100" dist="25400" dir="5400000" algn="ctr" rotWithShape="0">
                  <a:srgbClr val="6E747A">
                    <a:alpha val="43000"/>
                  </a:srgbClr>
                </a:outerShdw>
              </a:effectLst>
            </a:rPr>
            <a:t>2.1%</a:t>
          </a:r>
          <a:endParaRPr lang="en-US" sz="2400" b="1" cap="none" spc="0">
            <a:ln w="0"/>
            <a:solidFill>
              <a:schemeClr val="bg1"/>
            </a:solidFill>
            <a:effectLst>
              <a:outerShdw blurRad="38100" dist="25400" dir="5400000" algn="ctr" rotWithShape="0">
                <a:srgbClr val="6E747A">
                  <a:alpha val="43000"/>
                </a:srgbClr>
              </a:outerShdw>
            </a:effectLst>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523875</xdr:colOff>
      <xdr:row>2</xdr:row>
      <xdr:rowOff>95250</xdr:rowOff>
    </xdr:from>
    <xdr:to>
      <xdr:col>5</xdr:col>
      <xdr:colOff>257175</xdr:colOff>
      <xdr:row>5</xdr:row>
      <xdr:rowOff>95250</xdr:rowOff>
    </xdr:to>
    <xdr:pic>
      <xdr:nvPicPr>
        <xdr:cNvPr id="2" name="Picture 1" descr="Home1 with solid fill">
          <a:extLst>
            <a:ext uri="{FF2B5EF4-FFF2-40B4-BE49-F238E27FC236}">
              <a16:creationId xmlns:a16="http://schemas.microsoft.com/office/drawing/2014/main" id="{3C2D7135-2EB7-4E16-A28F-1B09DBB209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286125" y="476250"/>
          <a:ext cx="914400" cy="914400"/>
        </a:xfrm>
        <a:prstGeom prst="rect">
          <a:avLst/>
        </a:prstGeom>
      </xdr:spPr>
    </xdr:pic>
    <xdr:clientData/>
  </xdr:twoCellAnchor>
  <xdr:twoCellAnchor>
    <xdr:from>
      <xdr:col>1</xdr:col>
      <xdr:colOff>0</xdr:colOff>
      <xdr:row>6</xdr:row>
      <xdr:rowOff>0</xdr:rowOff>
    </xdr:from>
    <xdr:to>
      <xdr:col>2</xdr:col>
      <xdr:colOff>38100</xdr:colOff>
      <xdr:row>7</xdr:row>
      <xdr:rowOff>180975</xdr:rowOff>
    </xdr:to>
    <xdr:sp macro="[0]!CopySelectedTableWithFormatting" textlink="">
      <xdr:nvSpPr>
        <xdr:cNvPr id="5" name="Rectangle 4">
          <a:extLst>
            <a:ext uri="{FF2B5EF4-FFF2-40B4-BE49-F238E27FC236}">
              <a16:creationId xmlns:a16="http://schemas.microsoft.com/office/drawing/2014/main" id="{C08A94ED-BD12-D517-17CA-ADAC1DBFDCF9}"/>
            </a:ext>
          </a:extLst>
        </xdr:cNvPr>
        <xdr:cNvSpPr/>
      </xdr:nvSpPr>
      <xdr:spPr>
        <a:xfrm>
          <a:off x="590550" y="1143000"/>
          <a:ext cx="971550" cy="371475"/>
        </a:xfrm>
        <a:prstGeom prst="rect">
          <a:avLst/>
        </a:prstGeom>
        <a:solidFill>
          <a:schemeClr val="tx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kern="1200"/>
            <a:t>Find</a:t>
          </a:r>
          <a:endParaRPr lang="en-US" sz="1100" b="1" kern="1200"/>
        </a:p>
      </xdr:txBody>
    </xdr:sp>
    <xdr:clientData/>
  </xdr:twoCellAnchor>
  <xdr:twoCellAnchor>
    <xdr:from>
      <xdr:col>7</xdr:col>
      <xdr:colOff>95249</xdr:colOff>
      <xdr:row>1</xdr:row>
      <xdr:rowOff>152400</xdr:rowOff>
    </xdr:from>
    <xdr:to>
      <xdr:col>8</xdr:col>
      <xdr:colOff>381000</xdr:colOff>
      <xdr:row>7</xdr:row>
      <xdr:rowOff>9525</xdr:rowOff>
    </xdr:to>
    <xdr:grpSp>
      <xdr:nvGrpSpPr>
        <xdr:cNvPr id="8" name="Group 7">
          <a:extLst>
            <a:ext uri="{FF2B5EF4-FFF2-40B4-BE49-F238E27FC236}">
              <a16:creationId xmlns:a16="http://schemas.microsoft.com/office/drawing/2014/main" id="{124F6BAB-ABBD-438E-89B6-F1D1220358A7}"/>
            </a:ext>
          </a:extLst>
        </xdr:cNvPr>
        <xdr:cNvGrpSpPr/>
      </xdr:nvGrpSpPr>
      <xdr:grpSpPr>
        <a:xfrm>
          <a:off x="6857999" y="342900"/>
          <a:ext cx="876301" cy="1343025"/>
          <a:chOff x="6950850" y="740550"/>
          <a:chExt cx="916800" cy="1421625"/>
        </a:xfrm>
      </xdr:grpSpPr>
      <xdr:pic>
        <xdr:nvPicPr>
          <xdr:cNvPr id="9" name="Graphic 8" descr="Diploma roll with solid fill">
            <a:extLst>
              <a:ext uri="{FF2B5EF4-FFF2-40B4-BE49-F238E27FC236}">
                <a16:creationId xmlns:a16="http://schemas.microsoft.com/office/drawing/2014/main" id="{A9D24F20-6DB3-4232-B951-CF8C0DFB156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953250" y="1247775"/>
            <a:ext cx="914400" cy="914400"/>
          </a:xfrm>
          <a:prstGeom prst="rect">
            <a:avLst/>
          </a:prstGeom>
        </xdr:spPr>
      </xdr:pic>
      <xdr:pic>
        <xdr:nvPicPr>
          <xdr:cNvPr id="10" name="Graphic 9" descr="Graduation cap with solid fill">
            <a:extLst>
              <a:ext uri="{FF2B5EF4-FFF2-40B4-BE49-F238E27FC236}">
                <a16:creationId xmlns:a16="http://schemas.microsoft.com/office/drawing/2014/main" id="{FE94F243-B604-F3F7-F823-F9605BCC967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950850" y="740550"/>
            <a:ext cx="914400" cy="914400"/>
          </a:xfrm>
          <a:prstGeom prst="rect">
            <a:avLst/>
          </a:prstGeom>
        </xdr:spPr>
      </xdr:pic>
    </xdr:grpSp>
    <xdr:clientData/>
  </xdr:twoCellAnchor>
  <xdr:twoCellAnchor editAs="oneCell">
    <xdr:from>
      <xdr:col>5</xdr:col>
      <xdr:colOff>285750</xdr:colOff>
      <xdr:row>2</xdr:row>
      <xdr:rowOff>152400</xdr:rowOff>
    </xdr:from>
    <xdr:to>
      <xdr:col>7</xdr:col>
      <xdr:colOff>19050</xdr:colOff>
      <xdr:row>5</xdr:row>
      <xdr:rowOff>152400</xdr:rowOff>
    </xdr:to>
    <xdr:pic>
      <xdr:nvPicPr>
        <xdr:cNvPr id="4" name="Graphic 3" descr="Family with two children with solid fill">
          <a:extLst>
            <a:ext uri="{FF2B5EF4-FFF2-40B4-BE49-F238E27FC236}">
              <a16:creationId xmlns:a16="http://schemas.microsoft.com/office/drawing/2014/main" id="{4BBD1F45-E93B-001D-798F-BC06ECDBB98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5105400" y="533400"/>
          <a:ext cx="914400" cy="9144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sh Kamlesh Panchal" refreshedDate="45633.584249652777" createdVersion="8" refreshedVersion="8" minRefreshableVersion="3" recordCount="50" xr:uid="{F22B8B1E-DE70-46BD-9D6F-2F4115BFDF93}">
  <cacheSource type="worksheet">
    <worksheetSource name="Master_Data"/>
  </cacheSource>
  <cacheFields count="15">
    <cacheField name="State" numFmtId="0">
      <sharedItems count="50">
        <s v="Alabama"/>
        <s v="Alaska"/>
        <s v="Arizona"/>
        <s v="Arkansas"/>
        <s v="California"/>
        <s v="Colorado"/>
        <s v="Connecticut"/>
        <s v="Delaware"/>
        <s v="Florida"/>
        <s v="Georgia"/>
        <s v="Hawaii"/>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State Code" numFmtId="0">
      <sharedItems count="50">
        <s v="AL"/>
        <s v="AK"/>
        <s v="AZ"/>
        <s v="AR"/>
        <s v="CA"/>
        <s v="CO"/>
        <s v="CT"/>
        <s v="DE"/>
        <s v="FL"/>
        <s v="GA"/>
        <s v="HI"/>
        <s v="ID"/>
        <s v="IL"/>
        <s v="IN"/>
        <s v="IA"/>
        <s v="KS"/>
        <s v="KY"/>
        <s v="LA"/>
        <s v="ME"/>
        <s v="MD"/>
        <s v="MA"/>
        <s v="MI"/>
        <s v="MN"/>
        <s v="MS"/>
        <s v="MO"/>
        <s v="MT"/>
        <s v="NE"/>
        <s v="NV"/>
        <s v="NH"/>
        <s v="NJ"/>
        <s v="NM"/>
        <s v="NY"/>
        <s v="NC"/>
        <s v="ND"/>
        <s v="OH"/>
        <s v="OK"/>
        <s v="OR"/>
        <s v="PA"/>
        <s v="RI"/>
        <s v="SC"/>
        <s v="SD"/>
        <s v="TN"/>
        <s v="TX"/>
        <s v="UT"/>
        <s v="VT"/>
        <s v="VA"/>
        <s v="WA"/>
        <s v="WV"/>
        <s v="WI"/>
        <s v="WY"/>
      </sharedItems>
    </cacheField>
    <cacheField name="Region" numFmtId="0">
      <sharedItems count="4">
        <s v="South"/>
        <s v="West"/>
        <s v="Northeast"/>
        <s v="Midwest"/>
      </sharedItems>
    </cacheField>
    <cacheField name="College Acceptance Rate" numFmtId="10">
      <sharedItems containsSemiMixedTypes="0" containsString="0" containsNumber="1" minValue="0.58989999999999998" maxValue="0.97009999999999996"/>
    </cacheField>
    <cacheField name="Average Tuition (For Residents)" numFmtId="0">
      <sharedItems/>
    </cacheField>
    <cacheField name="Graduation Rate" numFmtId="10">
      <sharedItems containsSemiMixedTypes="0" containsString="0" containsNumber="1" minValue="0.33300000000000002" maxValue="0.68579999999999997"/>
    </cacheField>
    <cacheField name="Total Healthcare Spending (in millions)" numFmtId="8">
      <sharedItems containsSemiMixedTypes="0" containsString="0" containsNumber="1" containsInteger="1" minValue="6399" maxValue="405451"/>
    </cacheField>
    <cacheField name="Crime Rate Per 100K" numFmtId="1">
      <sharedItems containsSemiMixedTypes="0" containsString="0" containsNumber="1" containsInteger="1" minValue="2344" maxValue="6462"/>
    </cacheField>
    <cacheField name="Violent Crimes" numFmtId="1">
      <sharedItems containsSemiMixedTypes="0" containsString="0" containsNumber="1" containsInteger="1" minValue="1081" maxValue="174026" count="50">
        <n v="22322"/>
        <n v="6126"/>
        <n v="35980"/>
        <n v="20363"/>
        <n v="174026"/>
        <n v="24570"/>
        <n v="6459"/>
        <n v="4262"/>
        <n v="83368"/>
        <n v="42850"/>
        <n v="3576"/>
        <n v="4432"/>
        <n v="53612"/>
        <n v="24161"/>
        <n v="9601"/>
        <n v="12385"/>
        <n v="11600"/>
        <n v="29704"/>
        <n v="1466"/>
        <n v="24215"/>
        <n v="21288"/>
        <n v="47641"/>
        <n v="15698"/>
        <n v="8638"/>
        <n v="33385"/>
        <n v="5077"/>
        <n v="6473"/>
        <n v="14445"/>
        <n v="2000"/>
        <n v="17353"/>
        <n v="16393"/>
        <n v="70339"/>
        <n v="44451"/>
        <n v="2518"/>
        <n v="36104"/>
        <n v="18255"/>
        <n v="12380"/>
        <n v="49793"/>
        <n v="2440"/>
        <n v="27691"/>
        <n v="4476"/>
        <n v="46328"/>
        <n v="131084"/>
        <n v="8471"/>
        <n v="1081"/>
        <n v="17925"/>
        <n v="22596"/>
        <n v="6352"/>
        <n v="18861"/>
        <n v="1364"/>
      </sharedItems>
    </cacheField>
    <cacheField name="Non-Violent Crimes" numFmtId="1">
      <sharedItems containsSemiMixedTypes="0" containsString="0" containsNumber="1" containsInteger="1" minValue="15172" maxValue="1684108"/>
    </cacheField>
    <cacheField name="Average Temperature (F)" numFmtId="1">
      <sharedItems containsSemiMixedTypes="0" containsString="0" containsNumber="1" minValue="26.6" maxValue="70.7"/>
    </cacheField>
    <cacheField name="Average High Temperature (F)" numFmtId="1">
      <sharedItems containsSemiMixedTypes="0" containsString="0" containsNumber="1" minValue="35.5" maxValue="81.900000000000006"/>
    </cacheField>
    <cacheField name="Average Low Temperature (F)" numFmtId="1">
      <sharedItems containsSemiMixedTypes="0" containsString="0" containsNumber="1" minValue="20.399999999999999" maxValue="66.599999999999994"/>
    </cacheField>
    <cacheField name="2022 Unemployment Rate" numFmtId="164">
      <sharedItems containsSemiMixedTypes="0" containsString="0" containsNumber="1" minValue="2.5999999999999999E-2" maxValue="7.2999999999999995E-2"/>
    </cacheField>
    <cacheField name="2023 Unemployment Rate" numFmtId="164">
      <sharedItems containsSemiMixedTypes="0" containsString="0" containsNumber="1" minValue="2.1000000000000001E-2" maxValue="5.7000000000000002E-2"/>
    </cacheField>
  </cacheFields>
  <extLst>
    <ext xmlns:x14="http://schemas.microsoft.com/office/spreadsheetml/2009/9/main" uri="{725AE2AE-9491-48be-B2B4-4EB974FC3084}">
      <x14:pivotCacheDefinition pivotCacheId="203825625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0.72599999999999998"/>
    <s v="$15,526 ($10,869)"/>
    <n v="0.38419999999999999"/>
    <n v="45673"/>
    <n v="4727"/>
    <x v="0"/>
    <n v="210322"/>
    <n v="26.6"/>
    <n v="35.5"/>
    <n v="20.399999999999999"/>
    <n v="3.4000000000000002E-2"/>
    <n v="2.5999999999999999E-2"/>
  </r>
  <r>
    <x v="1"/>
    <x v="1"/>
    <x v="1"/>
    <n v="0.76370000000000005"/>
    <s v="$17,119 ($11,609)"/>
    <n v="0.44779999999999998"/>
    <n v="9975"/>
    <n v="5359"/>
    <x v="1"/>
    <n v="33056"/>
    <n v="62.8"/>
    <n v="75"/>
    <n v="52.2"/>
    <n v="6.4000000000000001E-2"/>
    <n v="4.3999999999999997E-2"/>
  </r>
  <r>
    <x v="2"/>
    <x v="2"/>
    <x v="1"/>
    <n v="0.82989999999999997"/>
    <s v="$19,095 ($8,546)"/>
    <n v="0.38800000000000001"/>
    <n v="64980"/>
    <n v="4940"/>
    <x v="2"/>
    <n v="330646"/>
    <n v="60.4"/>
    <n v="71.8"/>
    <n v="50.2"/>
    <n v="5.0999999999999997E-2"/>
    <n v="3.7999999999999999E-2"/>
  </r>
  <r>
    <x v="3"/>
    <x v="3"/>
    <x v="0"/>
    <n v="0.72060000000000002"/>
    <s v="$12,635 ($9,429)"/>
    <n v="0.4153"/>
    <n v="28300"/>
    <n v="5899"/>
    <x v="3"/>
    <n v="158400"/>
    <n v="60.3"/>
    <n v="75.3"/>
    <n v="46.8"/>
    <n v="4.1000000000000002E-2"/>
    <n v="3.3000000000000002E-2"/>
  </r>
  <r>
    <x v="4"/>
    <x v="4"/>
    <x v="1"/>
    <n v="0.66569999999999996"/>
    <s v="$23,838 ($14,295)"/>
    <n v="0.52500000000000002"/>
    <n v="405451"/>
    <n v="4720"/>
    <x v="4"/>
    <n v="1684108"/>
    <n v="59.4"/>
    <n v="71.5"/>
    <n v="46.5"/>
    <n v="7.2999999999999995E-2"/>
    <n v="4.2000000000000003E-2"/>
  </r>
  <r>
    <x v="5"/>
    <x v="5"/>
    <x v="1"/>
    <n v="0.80049999999999999"/>
    <s v="$21,353 ($12,314)"/>
    <n v="0.48699999999999999"/>
    <n v="49849"/>
    <n v="6091"/>
    <x v="5"/>
    <n v="329164"/>
    <n v="45.1"/>
    <n v="60"/>
    <n v="32.4"/>
    <n v="5.3999999999999999E-2"/>
    <n v="0.03"/>
  </r>
  <r>
    <x v="6"/>
    <x v="6"/>
    <x v="2"/>
    <n v="0.65369999999999995"/>
    <s v="$35,223 ($26,235)"/>
    <n v="0.65029999999999999"/>
    <n v="44425"/>
    <n v="3312"/>
    <x v="6"/>
    <n v="111340"/>
    <n v="49"/>
    <n v="60"/>
    <n v="39.799999999999997"/>
    <n v="6.3E-2"/>
    <n v="4.2000000000000003E-2"/>
  </r>
  <r>
    <x v="7"/>
    <x v="7"/>
    <x v="3"/>
    <n v="0.66259999999999997"/>
    <s v="$20,253 ($15,102)"/>
    <n v="0.45"/>
    <n v="12729"/>
    <n v="4355"/>
    <x v="7"/>
    <n v="38710"/>
    <n v="55.3"/>
    <n v="66.099999999999994"/>
    <n v="46.3"/>
    <n v="5.5E-2"/>
    <n v="4.4999999999999998E-2"/>
  </r>
  <r>
    <x v="8"/>
    <x v="8"/>
    <x v="0"/>
    <n v="0.69940000000000002"/>
    <s v="$19,282 ($12,855)"/>
    <n v="0.53979999999999995"/>
    <n v="214408"/>
    <n v="3922"/>
    <x v="8"/>
    <n v="769112"/>
    <n v="70.7"/>
    <n v="81.900000000000006"/>
    <n v="60.9"/>
    <n v="4.5999999999999999E-2"/>
    <n v="2.9000000000000001E-2"/>
  </r>
  <r>
    <x v="9"/>
    <x v="9"/>
    <x v="0"/>
    <n v="0.70309999999999995"/>
    <s v="$17,752 ($12,282)"/>
    <n v="0.42109999999999997"/>
    <n v="93803"/>
    <n v="4415"/>
    <x v="9"/>
    <n v="429976"/>
    <n v="63.5"/>
    <n v="75.599999999999994"/>
    <n v="52.7"/>
    <n v="3.9E-2"/>
    <n v="0.03"/>
  </r>
  <r>
    <x v="10"/>
    <x v="10"/>
    <x v="1"/>
    <n v="0.78510000000000002"/>
    <s v="$15,223 ($9,143)"/>
    <n v="0.40939999999999999"/>
    <n v="14480"/>
    <n v="5077"/>
    <x v="10"/>
    <n v="67856"/>
    <n v="70"/>
    <n v="80.400000000000006"/>
    <n v="66.599999999999994"/>
    <n v="0.06"/>
    <n v="3.5000000000000003E-2"/>
  </r>
  <r>
    <x v="11"/>
    <x v="11"/>
    <x v="1"/>
    <n v="0.80269999999999997"/>
    <s v="$19,089 ($10,607)"/>
    <n v="0.50600000000000001"/>
    <n v="14886"/>
    <n v="2466"/>
    <x v="11"/>
    <n v="40626"/>
    <n v="47.8"/>
    <n v="58.5"/>
    <n v="38.1"/>
    <n v="3.5000000000000003E-2"/>
    <n v="2.7E-2"/>
  </r>
  <r>
    <x v="12"/>
    <x v="12"/>
    <x v="3"/>
    <n v="0.73050000000000004"/>
    <s v="$23,083 ($19,514)"/>
    <n v="0.4798"/>
    <n v="128263"/>
    <n v="3545"/>
    <x v="12"/>
    <n v="392574"/>
    <n v="44.4"/>
    <n v="55.7"/>
    <n v="32.1"/>
    <n v="6.0999999999999999E-2"/>
    <n v="4.5999999999999999E-2"/>
  </r>
  <r>
    <x v="13"/>
    <x v="13"/>
    <x v="3"/>
    <n v="0.78029999999999999"/>
    <s v="$27,502 ($21,764)"/>
    <n v="0.55979999999999996"/>
    <n v="71040"/>
    <n v="3924"/>
    <x v="13"/>
    <n v="240906"/>
    <n v="51.8"/>
    <n v="62.7"/>
    <n v="42.6"/>
    <n v="3.9E-2"/>
    <n v="0.03"/>
  </r>
  <r>
    <x v="14"/>
    <x v="14"/>
    <x v="3"/>
    <n v="0.77629999999999999"/>
    <s v="$23,163 ($19,774)"/>
    <n v="0.58489999999999998"/>
    <n v="30968"/>
    <n v="3700"/>
    <x v="14"/>
    <n v="107450"/>
    <n v="51.7"/>
    <n v="62.5"/>
    <n v="42.2"/>
    <n v="3.7999999999999999E-2"/>
    <n v="2.7E-2"/>
  </r>
  <r>
    <x v="15"/>
    <x v="15"/>
    <x v="3"/>
    <n v="0.79330000000000001"/>
    <s v="$16,791 ($12,791)"/>
    <n v="0.44950000000000001"/>
    <n v="27414"/>
    <n v="4823"/>
    <x v="15"/>
    <n v="128154"/>
    <n v="54.3"/>
    <n v="67.5"/>
    <n v="42.6"/>
    <n v="3.3000000000000002E-2"/>
    <n v="2.7E-2"/>
  </r>
  <r>
    <x v="16"/>
    <x v="16"/>
    <x v="0"/>
    <n v="0.77939999999999998"/>
    <s v="$19,238 ($14,828)"/>
    <n v="0.45550000000000002"/>
    <n v="45922"/>
    <n v="3818"/>
    <x v="16"/>
    <n v="159346"/>
    <n v="55.6"/>
    <n v="67.2"/>
    <n v="45.4"/>
    <n v="4.3999999999999997E-2"/>
    <n v="3.9E-2"/>
  </r>
  <r>
    <x v="17"/>
    <x v="17"/>
    <x v="0"/>
    <n v="0.7107"/>
    <s v="$16,834 ($11,708)"/>
    <n v="0.44309999999999999"/>
    <n v="48845"/>
    <n v="6408"/>
    <x v="17"/>
    <n v="267978"/>
    <n v="66.400000000000006"/>
    <n v="77.5"/>
    <n v="56.7"/>
    <n v="5.6000000000000001E-2"/>
    <n v="3.6999999999999998E-2"/>
  </r>
  <r>
    <x v="18"/>
    <x v="18"/>
    <x v="2"/>
    <n v="0.68840000000000001"/>
    <s v="$28,095 ($19,755)"/>
    <n v="0.51259999999999994"/>
    <n v="16306"/>
    <n v="2421"/>
    <x v="18"/>
    <n v="31220"/>
    <n v="47.9"/>
    <n v="58.8"/>
    <n v="38.700000000000003"/>
    <n v="4.5999999999999999E-2"/>
    <n v="0.03"/>
  </r>
  <r>
    <x v="19"/>
    <x v="19"/>
    <x v="0"/>
    <n v="0.73839999999999995"/>
    <s v="$24,296 ($18,023)"/>
    <n v="0.48770000000000002"/>
    <n v="65641"/>
    <n v="3619"/>
    <x v="19"/>
    <n v="194974"/>
    <n v="54.2"/>
    <n v="65.400000000000006"/>
    <n v="45.4"/>
    <n v="5.2999999999999999E-2"/>
    <n v="3.2000000000000001E-2"/>
  </r>
  <r>
    <x v="20"/>
    <x v="20"/>
    <x v="2"/>
    <n v="0.63829999999999998"/>
    <s v="$37,093 ($28,671)"/>
    <n v="0.59160000000000001"/>
    <n v="91817"/>
    <n v="2415"/>
    <x v="20"/>
    <n v="145204"/>
    <n v="41"/>
    <n v="51.9"/>
    <n v="31.7"/>
    <n v="5.5E-2"/>
    <n v="3.7999999999999999E-2"/>
  </r>
  <r>
    <x v="21"/>
    <x v="21"/>
    <x v="3"/>
    <n v="0.76139999999999997"/>
    <s v="$21,533 ($16,648)"/>
    <n v="0.49070000000000003"/>
    <n v="98638"/>
    <n v="3200"/>
    <x v="21"/>
    <n v="271266"/>
    <n v="44.4"/>
    <n v="55"/>
    <n v="35.299999999999997"/>
    <n v="5.8000000000000003E-2"/>
    <n v="4.2000000000000003E-2"/>
  </r>
  <r>
    <x v="22"/>
    <x v="22"/>
    <x v="3"/>
    <n v="0.74550000000000005"/>
    <s v="$19,543 ($16,871)"/>
    <n v="0.505"/>
    <n v="61357"/>
    <n v="4527"/>
    <x v="22"/>
    <n v="240424"/>
    <n v="41.2"/>
    <n v="51.9"/>
    <n v="31.4"/>
    <n v="3.7999999999999999E-2"/>
    <n v="2.7E-2"/>
  </r>
  <r>
    <x v="23"/>
    <x v="23"/>
    <x v="0"/>
    <n v="0.72760000000000002"/>
    <s v="$11,734 ($8,497)"/>
    <n v="0.43309999999999998"/>
    <n v="27870"/>
    <n v="4494"/>
    <x v="23"/>
    <n v="124702"/>
    <n v="54.5"/>
    <n v="66"/>
    <n v="44.5"/>
    <n v="5.5E-2"/>
    <n v="3.9E-2"/>
  </r>
  <r>
    <x v="24"/>
    <x v="24"/>
    <x v="3"/>
    <n v="0.75590000000000002"/>
    <s v="$19,624 ($16,470)"/>
    <n v="0.52039999999999997"/>
    <n v="61031"/>
    <n v="5605"/>
    <x v="24"/>
    <n v="311396"/>
    <n v="63.4"/>
    <n v="75.3"/>
    <n v="53"/>
    <n v="4.1000000000000002E-2"/>
    <n v="2.5000000000000001E-2"/>
  </r>
  <r>
    <x v="25"/>
    <x v="25"/>
    <x v="1"/>
    <n v="0.83320000000000005"/>
    <s v="$15,622 ($8,406)"/>
    <n v="0.37359999999999999"/>
    <n v="11035"/>
    <n v="4711"/>
    <x v="25"/>
    <n v="45834"/>
    <n v="42.7"/>
    <n v="54.7"/>
    <n v="30.4"/>
    <n v="3.4000000000000002E-2"/>
    <n v="2.5999999999999999E-2"/>
  </r>
  <r>
    <x v="26"/>
    <x v="26"/>
    <x v="3"/>
    <n v="0.71550000000000002"/>
    <s v="$17,995 ($13,792)"/>
    <n v="0.55220000000000002"/>
    <n v="20371"/>
    <n v="4152"/>
    <x v="26"/>
    <n v="73982"/>
    <n v="59"/>
    <n v="70.5"/>
    <n v="48.6"/>
    <n v="3.2000000000000001E-2"/>
    <n v="2.7E-2"/>
  </r>
  <r>
    <x v="27"/>
    <x v="27"/>
    <x v="1"/>
    <n v="0.88400000000000001"/>
    <s v="$21,095 ($14,218)"/>
    <n v="0.47820000000000001"/>
    <n v="26200"/>
    <n v="4314"/>
    <x v="27"/>
    <n v="120924"/>
    <n v="40.4"/>
    <n v="52.2"/>
    <n v="29.8"/>
    <n v="6.3E-2"/>
    <n v="5.7000000000000002E-2"/>
  </r>
  <r>
    <x v="28"/>
    <x v="28"/>
    <x v="2"/>
    <n v="0.78029999999999999"/>
    <s v="$26,158 ($20,240)"/>
    <n v="0.51380000000000003"/>
    <n v="16113"/>
    <n v="2344"/>
    <x v="28"/>
    <n v="30028"/>
    <n v="48.8"/>
    <n v="61.9"/>
    <n v="36.9"/>
    <n v="3.4000000000000002E-2"/>
    <n v="2.5000000000000001E-2"/>
  </r>
  <r>
    <x v="29"/>
    <x v="29"/>
    <x v="2"/>
    <n v="0.76280000000000003"/>
    <s v="$20,544 ($17,574)"/>
    <n v="0.52139999999999997"/>
    <n v="105416"/>
    <n v="2512"/>
    <x v="29"/>
    <n v="205750"/>
    <n v="43.8"/>
    <n v="54.7"/>
    <n v="33.299999999999997"/>
    <n v="6.6000000000000003E-2"/>
    <n v="3.6999999999999998E-2"/>
  </r>
  <r>
    <x v="30"/>
    <x v="30"/>
    <x v="1"/>
    <n v="0.69569999999999999"/>
    <s v="$13,768 ($5,785)"/>
    <n v="0.33300000000000002"/>
    <n v="18750"/>
    <n v="6462"/>
    <x v="30"/>
    <n v="119718"/>
    <n v="52.7"/>
    <n v="63.6"/>
    <n v="43.6"/>
    <n v="7.0999999999999994E-2"/>
    <n v="0.04"/>
  </r>
  <r>
    <x v="31"/>
    <x v="31"/>
    <x v="2"/>
    <n v="0.69059999999999999"/>
    <s v="$24,098 ($19,065)"/>
    <n v="0.55249999999999999"/>
    <n v="270847"/>
    <n v="3185"/>
    <x v="31"/>
    <n v="545576"/>
    <n v="53.4"/>
    <n v="69.5"/>
    <n v="39.4"/>
    <n v="7.0000000000000007E-2"/>
    <n v="4.2999999999999997E-2"/>
  </r>
  <r>
    <x v="32"/>
    <x v="32"/>
    <x v="0"/>
    <n v="0.69710000000000005"/>
    <s v="$18,517 ($12,015)"/>
    <n v="0.43859999999999999"/>
    <n v="94532"/>
    <n v="4872"/>
    <x v="32"/>
    <n v="472052"/>
    <n v="49.9"/>
    <n v="64.599999999999994"/>
    <n v="37.4"/>
    <n v="4.9000000000000002E-2"/>
    <n v="3.6999999999999998E-2"/>
  </r>
  <r>
    <x v="33"/>
    <x v="33"/>
    <x v="3"/>
    <n v="0.72760000000000002"/>
    <s v="$10,726 ($8,451)"/>
    <n v="0.43409999999999999"/>
    <n v="8649"/>
    <n v="4577"/>
    <x v="33"/>
    <n v="32512"/>
    <n v="45.4"/>
    <n v="55.9"/>
    <n v="36.1"/>
    <n v="3.1E-2"/>
    <n v="2.1000000000000001E-2"/>
  </r>
  <r>
    <x v="34"/>
    <x v="34"/>
    <x v="3"/>
    <n v="0.69669999999999999"/>
    <s v="$21,770 ($16,971)"/>
    <n v="0.49299999999999999"/>
    <n v="122521"/>
    <n v="4009"/>
    <x v="34"/>
    <n v="432726"/>
    <n v="50.7"/>
    <n v="61.7"/>
    <n v="41.6"/>
    <n v="5.0999999999999997E-2"/>
    <n v="0.04"/>
  </r>
  <r>
    <x v="35"/>
    <x v="35"/>
    <x v="0"/>
    <n v="0.76819999999999999"/>
    <s v="$15,427 ($10,027)"/>
    <n v="0.46139999999999998"/>
    <n v="37595"/>
    <n v="5870"/>
    <x v="35"/>
    <n v="215410"/>
    <n v="59.6"/>
    <n v="72.3"/>
    <n v="48.3"/>
    <n v="0.04"/>
    <n v="0.03"/>
  </r>
  <r>
    <x v="36"/>
    <x v="36"/>
    <x v="1"/>
    <n v="0.7913"/>
    <s v="$22,661 ($17,040)"/>
    <n v="0.50149999999999995"/>
    <n v="42716"/>
    <n v="5610"/>
    <x v="36"/>
    <n v="225564"/>
    <n v="48.4"/>
    <n v="59.4"/>
    <n v="36.4"/>
    <n v="5.1999999999999998E-2"/>
    <n v="4.2000000000000003E-2"/>
  </r>
  <r>
    <x v="37"/>
    <x v="37"/>
    <x v="2"/>
    <n v="0.76049999999999995"/>
    <s v="$28,996 ($23,723)"/>
    <n v="0.55069999999999997"/>
    <n v="148327"/>
    <n v="3678"/>
    <x v="37"/>
    <n v="420334"/>
    <n v="48.8"/>
    <n v="59.7"/>
    <n v="39.200000000000003"/>
    <n v="0.06"/>
    <n v="4.3999999999999997E-2"/>
  </r>
  <r>
    <x v="38"/>
    <x v="38"/>
    <x v="2"/>
    <n v="0.61750000000000005"/>
    <s v="$37,959 ($30,846)"/>
    <n v="0.68579999999999997"/>
    <n v="12362"/>
    <n v="2722"/>
    <x v="38"/>
    <n v="26332"/>
    <n v="50.1"/>
    <n v="60"/>
    <n v="41.3"/>
    <n v="5.5E-2"/>
    <n v="3.2000000000000001E-2"/>
  </r>
  <r>
    <x v="39"/>
    <x v="39"/>
    <x v="0"/>
    <n v="0.74"/>
    <s v="$21,069 ($14,493)"/>
    <n v="0.40150000000000002"/>
    <n v="45742"/>
    <n v="5973"/>
    <x v="39"/>
    <n v="283974"/>
    <n v="62.4"/>
    <n v="74.7"/>
    <n v="52"/>
    <n v="3.9E-2"/>
    <n v="3.2000000000000001E-2"/>
  </r>
  <r>
    <x v="40"/>
    <x v="40"/>
    <x v="3"/>
    <n v="0.82210000000000005"/>
    <s v="$12,584 ($11,908)"/>
    <n v="0.4778"/>
    <n v="11154"/>
    <n v="4415"/>
    <x v="40"/>
    <n v="34936"/>
    <n v="45.2"/>
    <n v="57.5"/>
    <n v="33.799999999999997"/>
    <n v="2.5999999999999999E-2"/>
    <n v="2.1000000000000001E-2"/>
  </r>
  <r>
    <x v="41"/>
    <x v="41"/>
    <x v="0"/>
    <n v="0.69830000000000003"/>
    <s v="$18,161 ($13,156)"/>
    <n v="0.55110000000000003"/>
    <n v="64295"/>
    <n v="5658"/>
    <x v="41"/>
    <n v="343350"/>
    <n v="57.6"/>
    <n v="69.400000000000006"/>
    <n v="47.5"/>
    <n v="4.4999999999999998E-2"/>
    <n v="3.4000000000000002E-2"/>
  </r>
  <r>
    <x v="42"/>
    <x v="42"/>
    <x v="0"/>
    <n v="0.75549999999999995"/>
    <s v="$19,205 ($12,655)"/>
    <n v="0.45319999999999999"/>
    <n v="246812"/>
    <n v="4937"/>
    <x v="42"/>
    <n v="1318320"/>
    <n v="64.8"/>
    <n v="78.099999999999994"/>
    <n v="53.5"/>
    <n v="5.6000000000000001E-2"/>
    <n v="3.9E-2"/>
  </r>
  <r>
    <x v="43"/>
    <x v="43"/>
    <x v="1"/>
    <n v="0.81869999999999998"/>
    <s v="$23,278 ($10,860)"/>
    <n v="0.55000000000000004"/>
    <n v="24447"/>
    <n v="5190"/>
    <x v="43"/>
    <n v="160182"/>
    <n v="48.6"/>
    <n v="62"/>
    <n v="36.4"/>
    <n v="2.7E-2"/>
    <n v="2.3E-2"/>
  </r>
  <r>
    <x v="44"/>
    <x v="44"/>
    <x v="2"/>
    <n v="0.58989999999999998"/>
    <s v="$41,456 ($33,849)"/>
    <n v="0.57730000000000004"/>
    <n v="7951"/>
    <n v="2607"/>
    <x v="44"/>
    <n v="15172"/>
    <n v="55.1"/>
    <n v="66.900000000000006"/>
    <n v="45.1"/>
    <n v="3.6999999999999998E-2"/>
    <n v="2.5999999999999999E-2"/>
  </r>
  <r>
    <x v="45"/>
    <x v="45"/>
    <x v="0"/>
    <n v="0.73580000000000001"/>
    <s v="$22,173 ($16,482)"/>
    <n v="0.51429999999999998"/>
    <n v="78989"/>
    <n v="3121"/>
    <x v="45"/>
    <n v="250228"/>
    <n v="42.9"/>
    <n v="53.4"/>
    <n v="32.700000000000003"/>
    <n v="3.9E-2"/>
    <n v="2.9000000000000001E-2"/>
  </r>
  <r>
    <x v="46"/>
    <x v="46"/>
    <x v="1"/>
    <n v="0.79679999999999995"/>
    <s v="$20,152 ($14,217)"/>
    <n v="0.49130000000000001"/>
    <n v="71277"/>
    <n v="5759"/>
    <x v="46"/>
    <n v="420446"/>
    <n v="48.3"/>
    <n v="57"/>
    <n v="37.6"/>
    <n v="5.1999999999999998E-2"/>
    <n v="4.2000000000000003E-2"/>
  </r>
  <r>
    <x v="47"/>
    <x v="47"/>
    <x v="0"/>
    <n v="0.83399999999999996"/>
    <s v="$15,133 ($10,773)"/>
    <n v="0.49890000000000001"/>
    <n v="22790"/>
    <n v="3155"/>
    <x v="47"/>
    <n v="49952"/>
    <n v="43.1"/>
    <n v="54"/>
    <n v="33.700000000000003"/>
    <n v="5.0999999999999997E-2"/>
    <n v="3.9E-2"/>
  </r>
  <r>
    <x v="48"/>
    <x v="48"/>
    <x v="3"/>
    <n v="0.79369999999999996"/>
    <s v="$23,078 ($16,263)"/>
    <n v="0.54820000000000002"/>
    <n v="58220"/>
    <n v="3295"/>
    <x v="48"/>
    <n v="173308"/>
    <n v="51.8"/>
    <n v="63.5"/>
    <n v="41.7"/>
    <n v="3.7999999999999999E-2"/>
    <n v="2.9000000000000001E-2"/>
  </r>
  <r>
    <x v="49"/>
    <x v="49"/>
    <x v="1"/>
    <n v="0.97009999999999996"/>
    <s v="$14,508 ($4,868)"/>
    <n v="0.43440000000000001"/>
    <n v="6399"/>
    <n v="3455"/>
    <x v="49"/>
    <n v="18758"/>
    <n v="42"/>
    <n v="55.2"/>
    <n v="29.3"/>
    <n v="4.5999999999999999E-2"/>
    <n v="3.5999999999999997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C928C82-1A24-4190-BE95-DF3E549A135F}" name="Healthcar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M3:N58" firstHeaderRow="1" firstDataRow="1" firstDataCol="1"/>
  <pivotFields count="15">
    <pivotField showAll="0">
      <items count="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t="default"/>
      </items>
    </pivotField>
    <pivotField axis="axisRow" showAll="0">
      <items count="51">
        <item x="1"/>
        <item x="0"/>
        <item x="3"/>
        <item x="2"/>
        <item x="4"/>
        <item x="5"/>
        <item x="6"/>
        <item x="7"/>
        <item x="8"/>
        <item x="9"/>
        <item x="10"/>
        <item x="14"/>
        <item x="11"/>
        <item x="12"/>
        <item x="13"/>
        <item x="15"/>
        <item x="16"/>
        <item x="17"/>
        <item x="20"/>
        <item x="19"/>
        <item x="18"/>
        <item x="21"/>
        <item x="22"/>
        <item x="24"/>
        <item x="23"/>
        <item x="25"/>
        <item x="32"/>
        <item x="33"/>
        <item x="26"/>
        <item x="28"/>
        <item x="29"/>
        <item x="30"/>
        <item x="27"/>
        <item x="31"/>
        <item x="34"/>
        <item x="35"/>
        <item x="36"/>
        <item x="37"/>
        <item x="38"/>
        <item x="39"/>
        <item x="40"/>
        <item x="41"/>
        <item x="42"/>
        <item x="43"/>
        <item x="45"/>
        <item x="44"/>
        <item x="46"/>
        <item x="48"/>
        <item x="47"/>
        <item x="49"/>
        <item t="default"/>
      </items>
    </pivotField>
    <pivotField axis="axisRow" showAll="0">
      <items count="5">
        <item x="3"/>
        <item x="2"/>
        <item x="0"/>
        <item x="1"/>
        <item t="default"/>
      </items>
    </pivotField>
    <pivotField numFmtId="10" showAll="0"/>
    <pivotField showAll="0"/>
    <pivotField numFmtId="10" showAll="0"/>
    <pivotField dataField="1" numFmtId="8" showAll="0"/>
    <pivotField numFmtId="1" showAll="0"/>
    <pivotField numFmtId="1" showAll="0"/>
    <pivotField numFmtId="1" showAll="0"/>
    <pivotField numFmtId="1" showAll="0"/>
    <pivotField numFmtId="1" showAll="0"/>
    <pivotField numFmtId="1" showAll="0"/>
    <pivotField numFmtId="164" showAll="0"/>
    <pivotField numFmtId="164" showAll="0"/>
  </pivotFields>
  <rowFields count="2">
    <field x="2"/>
    <field x="1"/>
  </rowFields>
  <rowItems count="55">
    <i>
      <x/>
    </i>
    <i r="1">
      <x v="7"/>
    </i>
    <i r="1">
      <x v="11"/>
    </i>
    <i r="1">
      <x v="13"/>
    </i>
    <i r="1">
      <x v="14"/>
    </i>
    <i r="1">
      <x v="15"/>
    </i>
    <i r="1">
      <x v="21"/>
    </i>
    <i r="1">
      <x v="22"/>
    </i>
    <i r="1">
      <x v="23"/>
    </i>
    <i r="1">
      <x v="27"/>
    </i>
    <i r="1">
      <x v="28"/>
    </i>
    <i r="1">
      <x v="34"/>
    </i>
    <i r="1">
      <x v="40"/>
    </i>
    <i r="1">
      <x v="47"/>
    </i>
    <i>
      <x v="1"/>
    </i>
    <i r="1">
      <x v="6"/>
    </i>
    <i r="1">
      <x v="18"/>
    </i>
    <i r="1">
      <x v="20"/>
    </i>
    <i r="1">
      <x v="29"/>
    </i>
    <i r="1">
      <x v="30"/>
    </i>
    <i r="1">
      <x v="33"/>
    </i>
    <i r="1">
      <x v="37"/>
    </i>
    <i r="1">
      <x v="38"/>
    </i>
    <i r="1">
      <x v="45"/>
    </i>
    <i>
      <x v="2"/>
    </i>
    <i r="1">
      <x v="1"/>
    </i>
    <i r="1">
      <x v="2"/>
    </i>
    <i r="1">
      <x v="8"/>
    </i>
    <i r="1">
      <x v="9"/>
    </i>
    <i r="1">
      <x v="16"/>
    </i>
    <i r="1">
      <x v="17"/>
    </i>
    <i r="1">
      <x v="19"/>
    </i>
    <i r="1">
      <x v="24"/>
    </i>
    <i r="1">
      <x v="26"/>
    </i>
    <i r="1">
      <x v="35"/>
    </i>
    <i r="1">
      <x v="39"/>
    </i>
    <i r="1">
      <x v="41"/>
    </i>
    <i r="1">
      <x v="42"/>
    </i>
    <i r="1">
      <x v="44"/>
    </i>
    <i r="1">
      <x v="48"/>
    </i>
    <i>
      <x v="3"/>
    </i>
    <i r="1">
      <x/>
    </i>
    <i r="1">
      <x v="3"/>
    </i>
    <i r="1">
      <x v="4"/>
    </i>
    <i r="1">
      <x v="5"/>
    </i>
    <i r="1">
      <x v="10"/>
    </i>
    <i r="1">
      <x v="12"/>
    </i>
    <i r="1">
      <x v="25"/>
    </i>
    <i r="1">
      <x v="31"/>
    </i>
    <i r="1">
      <x v="32"/>
    </i>
    <i r="1">
      <x v="36"/>
    </i>
    <i r="1">
      <x v="43"/>
    </i>
    <i r="1">
      <x v="46"/>
    </i>
    <i r="1">
      <x v="49"/>
    </i>
    <i t="grand">
      <x/>
    </i>
  </rowItems>
  <colItems count="1">
    <i/>
  </colItems>
  <dataFields count="1">
    <dataField name="Sum of Total Healthcare Spending (in millions)" fld="6" baseField="2" baseItem="0"/>
  </dataFields>
  <chartFormats count="1">
    <chartFormat chart="4"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124C175-26C3-47E8-94A7-7BC0D73E0A4E}" name="College Acceptanc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1">
  <location ref="A3:C58" firstHeaderRow="0" firstDataRow="1" firstDataCol="1"/>
  <pivotFields count="15">
    <pivotField showAll="0">
      <items count="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t="default"/>
      </items>
    </pivotField>
    <pivotField axis="axisRow" showAll="0">
      <items count="51">
        <item x="1"/>
        <item x="0"/>
        <item x="3"/>
        <item x="2"/>
        <item x="4"/>
        <item x="5"/>
        <item x="6"/>
        <item x="7"/>
        <item x="8"/>
        <item x="9"/>
        <item x="10"/>
        <item x="14"/>
        <item x="11"/>
        <item x="12"/>
        <item x="13"/>
        <item x="15"/>
        <item x="16"/>
        <item x="17"/>
        <item x="20"/>
        <item x="19"/>
        <item x="18"/>
        <item x="21"/>
        <item x="22"/>
        <item x="24"/>
        <item x="23"/>
        <item x="25"/>
        <item x="32"/>
        <item x="33"/>
        <item x="26"/>
        <item x="28"/>
        <item x="29"/>
        <item x="30"/>
        <item x="27"/>
        <item x="31"/>
        <item x="34"/>
        <item x="35"/>
        <item x="36"/>
        <item x="37"/>
        <item x="38"/>
        <item x="39"/>
        <item x="40"/>
        <item x="41"/>
        <item x="42"/>
        <item x="43"/>
        <item x="45"/>
        <item x="44"/>
        <item x="46"/>
        <item x="48"/>
        <item x="47"/>
        <item x="49"/>
        <item t="default"/>
      </items>
    </pivotField>
    <pivotField axis="axisRow" showAll="0">
      <items count="5">
        <item x="3"/>
        <item x="2"/>
        <item x="0"/>
        <item x="1"/>
        <item t="default"/>
      </items>
    </pivotField>
    <pivotField dataField="1" numFmtId="10" showAll="0"/>
    <pivotField showAll="0"/>
    <pivotField dataField="1" numFmtId="10" showAll="0"/>
    <pivotField numFmtId="8" showAll="0"/>
    <pivotField numFmtId="1" showAll="0"/>
    <pivotField numFmtId="1" showAll="0"/>
    <pivotField numFmtId="1" showAll="0"/>
    <pivotField numFmtId="1" showAll="0"/>
    <pivotField numFmtId="1" showAll="0"/>
    <pivotField numFmtId="1" showAll="0"/>
    <pivotField numFmtId="164" showAll="0"/>
    <pivotField numFmtId="164" showAll="0"/>
  </pivotFields>
  <rowFields count="2">
    <field x="2"/>
    <field x="1"/>
  </rowFields>
  <rowItems count="55">
    <i>
      <x/>
    </i>
    <i r="1">
      <x v="7"/>
    </i>
    <i r="1">
      <x v="11"/>
    </i>
    <i r="1">
      <x v="13"/>
    </i>
    <i r="1">
      <x v="14"/>
    </i>
    <i r="1">
      <x v="15"/>
    </i>
    <i r="1">
      <x v="21"/>
    </i>
    <i r="1">
      <x v="22"/>
    </i>
    <i r="1">
      <x v="23"/>
    </i>
    <i r="1">
      <x v="27"/>
    </i>
    <i r="1">
      <x v="28"/>
    </i>
    <i r="1">
      <x v="34"/>
    </i>
    <i r="1">
      <x v="40"/>
    </i>
    <i r="1">
      <x v="47"/>
    </i>
    <i>
      <x v="1"/>
    </i>
    <i r="1">
      <x v="6"/>
    </i>
    <i r="1">
      <x v="18"/>
    </i>
    <i r="1">
      <x v="20"/>
    </i>
    <i r="1">
      <x v="29"/>
    </i>
    <i r="1">
      <x v="30"/>
    </i>
    <i r="1">
      <x v="33"/>
    </i>
    <i r="1">
      <x v="37"/>
    </i>
    <i r="1">
      <x v="38"/>
    </i>
    <i r="1">
      <x v="45"/>
    </i>
    <i>
      <x v="2"/>
    </i>
    <i r="1">
      <x v="1"/>
    </i>
    <i r="1">
      <x v="2"/>
    </i>
    <i r="1">
      <x v="8"/>
    </i>
    <i r="1">
      <x v="9"/>
    </i>
    <i r="1">
      <x v="16"/>
    </i>
    <i r="1">
      <x v="17"/>
    </i>
    <i r="1">
      <x v="19"/>
    </i>
    <i r="1">
      <x v="24"/>
    </i>
    <i r="1">
      <x v="26"/>
    </i>
    <i r="1">
      <x v="35"/>
    </i>
    <i r="1">
      <x v="39"/>
    </i>
    <i r="1">
      <x v="41"/>
    </i>
    <i r="1">
      <x v="42"/>
    </i>
    <i r="1">
      <x v="44"/>
    </i>
    <i r="1">
      <x v="48"/>
    </i>
    <i>
      <x v="3"/>
    </i>
    <i r="1">
      <x/>
    </i>
    <i r="1">
      <x v="3"/>
    </i>
    <i r="1">
      <x v="4"/>
    </i>
    <i r="1">
      <x v="5"/>
    </i>
    <i r="1">
      <x v="10"/>
    </i>
    <i r="1">
      <x v="12"/>
    </i>
    <i r="1">
      <x v="25"/>
    </i>
    <i r="1">
      <x v="31"/>
    </i>
    <i r="1">
      <x v="32"/>
    </i>
    <i r="1">
      <x v="36"/>
    </i>
    <i r="1">
      <x v="43"/>
    </i>
    <i r="1">
      <x v="46"/>
    </i>
    <i r="1">
      <x v="49"/>
    </i>
    <i t="grand">
      <x/>
    </i>
  </rowItems>
  <colFields count="1">
    <field x="-2"/>
  </colFields>
  <colItems count="2">
    <i>
      <x/>
    </i>
    <i i="1">
      <x v="1"/>
    </i>
  </colItems>
  <dataFields count="2">
    <dataField name="Sum of College Acceptance Rate" fld="3" baseField="2" baseItem="0"/>
    <dataField name="Sum of Graduation Rate" fld="5" baseField="2" baseItem="0"/>
  </dataFields>
  <chartFormats count="2">
    <chartFormat chart="7" format="6"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F957384-BA16-404B-97BA-B1308CBB1A56}" name="Temperatur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62:C117" firstHeaderRow="0" firstDataRow="1" firstDataCol="1"/>
  <pivotFields count="15">
    <pivotField showAll="0">
      <items count="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t="default"/>
      </items>
    </pivotField>
    <pivotField axis="axisRow" showAll="0">
      <items count="51">
        <item x="1"/>
        <item x="0"/>
        <item x="3"/>
        <item x="2"/>
        <item x="4"/>
        <item x="5"/>
        <item x="6"/>
        <item x="7"/>
        <item x="8"/>
        <item x="9"/>
        <item x="10"/>
        <item x="14"/>
        <item x="11"/>
        <item x="12"/>
        <item x="13"/>
        <item x="15"/>
        <item x="16"/>
        <item x="17"/>
        <item x="20"/>
        <item x="19"/>
        <item x="18"/>
        <item x="21"/>
        <item x="22"/>
        <item x="24"/>
        <item x="23"/>
        <item x="25"/>
        <item x="32"/>
        <item x="33"/>
        <item x="26"/>
        <item x="28"/>
        <item x="29"/>
        <item x="30"/>
        <item x="27"/>
        <item x="31"/>
        <item x="34"/>
        <item x="35"/>
        <item x="36"/>
        <item x="37"/>
        <item x="38"/>
        <item x="39"/>
        <item x="40"/>
        <item x="41"/>
        <item x="42"/>
        <item x="43"/>
        <item x="45"/>
        <item x="44"/>
        <item x="46"/>
        <item x="48"/>
        <item x="47"/>
        <item x="49"/>
        <item t="default"/>
      </items>
    </pivotField>
    <pivotField axis="axisRow" showAll="0">
      <items count="5">
        <item x="3"/>
        <item x="2"/>
        <item x="0"/>
        <item x="1"/>
        <item t="default"/>
      </items>
    </pivotField>
    <pivotField numFmtId="10" showAll="0"/>
    <pivotField showAll="0"/>
    <pivotField numFmtId="10" showAll="0"/>
    <pivotField numFmtId="8" showAll="0"/>
    <pivotField numFmtId="1" showAll="0"/>
    <pivotField numFmtId="1" showAll="0"/>
    <pivotField numFmtId="1" showAll="0"/>
    <pivotField numFmtId="1" showAll="0"/>
    <pivotField dataField="1" numFmtId="1" showAll="0"/>
    <pivotField dataField="1" numFmtId="1" showAll="0"/>
    <pivotField numFmtId="164" showAll="0"/>
    <pivotField numFmtId="164" showAll="0"/>
  </pivotFields>
  <rowFields count="2">
    <field x="2"/>
    <field x="1"/>
  </rowFields>
  <rowItems count="55">
    <i>
      <x/>
    </i>
    <i r="1">
      <x v="7"/>
    </i>
    <i r="1">
      <x v="11"/>
    </i>
    <i r="1">
      <x v="13"/>
    </i>
    <i r="1">
      <x v="14"/>
    </i>
    <i r="1">
      <x v="15"/>
    </i>
    <i r="1">
      <x v="21"/>
    </i>
    <i r="1">
      <x v="22"/>
    </i>
    <i r="1">
      <x v="23"/>
    </i>
    <i r="1">
      <x v="27"/>
    </i>
    <i r="1">
      <x v="28"/>
    </i>
    <i r="1">
      <x v="34"/>
    </i>
    <i r="1">
      <x v="40"/>
    </i>
    <i r="1">
      <x v="47"/>
    </i>
    <i>
      <x v="1"/>
    </i>
    <i r="1">
      <x v="6"/>
    </i>
    <i r="1">
      <x v="18"/>
    </i>
    <i r="1">
      <x v="20"/>
    </i>
    <i r="1">
      <x v="29"/>
    </i>
    <i r="1">
      <x v="30"/>
    </i>
    <i r="1">
      <x v="33"/>
    </i>
    <i r="1">
      <x v="37"/>
    </i>
    <i r="1">
      <x v="38"/>
    </i>
    <i r="1">
      <x v="45"/>
    </i>
    <i>
      <x v="2"/>
    </i>
    <i r="1">
      <x v="1"/>
    </i>
    <i r="1">
      <x v="2"/>
    </i>
    <i r="1">
      <x v="8"/>
    </i>
    <i r="1">
      <x v="9"/>
    </i>
    <i r="1">
      <x v="16"/>
    </i>
    <i r="1">
      <x v="17"/>
    </i>
    <i r="1">
      <x v="19"/>
    </i>
    <i r="1">
      <x v="24"/>
    </i>
    <i r="1">
      <x v="26"/>
    </i>
    <i r="1">
      <x v="35"/>
    </i>
    <i r="1">
      <x v="39"/>
    </i>
    <i r="1">
      <x v="41"/>
    </i>
    <i r="1">
      <x v="42"/>
    </i>
    <i r="1">
      <x v="44"/>
    </i>
    <i r="1">
      <x v="48"/>
    </i>
    <i>
      <x v="3"/>
    </i>
    <i r="1">
      <x/>
    </i>
    <i r="1">
      <x v="3"/>
    </i>
    <i r="1">
      <x v="4"/>
    </i>
    <i r="1">
      <x v="5"/>
    </i>
    <i r="1">
      <x v="10"/>
    </i>
    <i r="1">
      <x v="12"/>
    </i>
    <i r="1">
      <x v="25"/>
    </i>
    <i r="1">
      <x v="31"/>
    </i>
    <i r="1">
      <x v="32"/>
    </i>
    <i r="1">
      <x v="36"/>
    </i>
    <i r="1">
      <x v="43"/>
    </i>
    <i r="1">
      <x v="46"/>
    </i>
    <i r="1">
      <x v="49"/>
    </i>
    <i t="grand">
      <x/>
    </i>
  </rowItems>
  <colFields count="1">
    <field x="-2"/>
  </colFields>
  <colItems count="2">
    <i>
      <x/>
    </i>
    <i i="1">
      <x v="1"/>
    </i>
  </colItems>
  <dataFields count="2">
    <dataField name="High Temperature (F)" fld="11" baseField="2" baseItem="0"/>
    <dataField name="Low Temperature (F)" fld="12" baseField="2" baseItem="0"/>
  </dataFields>
  <chartFormats count="2">
    <chartFormat chart="2" format="7" series="1">
      <pivotArea type="data" outline="0" fieldPosition="0">
        <references count="1">
          <reference field="4294967294" count="1" selected="0">
            <x v="0"/>
          </reference>
        </references>
      </pivotArea>
    </chartFormat>
    <chartFormat chart="2" format="8"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595C63C-30F1-487B-91B8-224FDFC8EAED}" name="Employmen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I3:K58" firstHeaderRow="0" firstDataRow="1" firstDataCol="1"/>
  <pivotFields count="15">
    <pivotField showAll="0">
      <items count="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t="default"/>
      </items>
    </pivotField>
    <pivotField axis="axisRow" showAll="0">
      <items count="51">
        <item x="1"/>
        <item x="0"/>
        <item x="3"/>
        <item x="2"/>
        <item x="4"/>
        <item x="5"/>
        <item x="6"/>
        <item x="7"/>
        <item x="8"/>
        <item x="9"/>
        <item x="10"/>
        <item x="14"/>
        <item x="11"/>
        <item x="12"/>
        <item x="13"/>
        <item x="15"/>
        <item x="16"/>
        <item x="17"/>
        <item x="20"/>
        <item x="19"/>
        <item x="18"/>
        <item x="21"/>
        <item x="22"/>
        <item x="24"/>
        <item x="23"/>
        <item x="25"/>
        <item x="32"/>
        <item x="33"/>
        <item x="26"/>
        <item x="28"/>
        <item x="29"/>
        <item x="30"/>
        <item x="27"/>
        <item x="31"/>
        <item x="34"/>
        <item x="35"/>
        <item x="36"/>
        <item x="37"/>
        <item x="38"/>
        <item x="39"/>
        <item x="40"/>
        <item x="41"/>
        <item x="42"/>
        <item x="43"/>
        <item x="45"/>
        <item x="44"/>
        <item x="46"/>
        <item x="48"/>
        <item x="47"/>
        <item x="49"/>
        <item t="default"/>
      </items>
    </pivotField>
    <pivotField axis="axisRow" showAll="0">
      <items count="5">
        <item x="3"/>
        <item x="2"/>
        <item x="0"/>
        <item x="1"/>
        <item t="default"/>
      </items>
    </pivotField>
    <pivotField numFmtId="10" showAll="0"/>
    <pivotField showAll="0"/>
    <pivotField numFmtId="10" showAll="0"/>
    <pivotField numFmtId="8" showAll="0"/>
    <pivotField numFmtId="1" showAll="0"/>
    <pivotField numFmtId="1" showAll="0"/>
    <pivotField numFmtId="1" showAll="0"/>
    <pivotField numFmtId="1" showAll="0"/>
    <pivotField numFmtId="1" showAll="0"/>
    <pivotField numFmtId="1" showAll="0"/>
    <pivotField dataField="1" numFmtId="164" showAll="0"/>
    <pivotField dataField="1" numFmtId="164" showAll="0"/>
  </pivotFields>
  <rowFields count="2">
    <field x="2"/>
    <field x="1"/>
  </rowFields>
  <rowItems count="55">
    <i>
      <x/>
    </i>
    <i r="1">
      <x v="7"/>
    </i>
    <i r="1">
      <x v="11"/>
    </i>
    <i r="1">
      <x v="13"/>
    </i>
    <i r="1">
      <x v="14"/>
    </i>
    <i r="1">
      <x v="15"/>
    </i>
    <i r="1">
      <x v="21"/>
    </i>
    <i r="1">
      <x v="22"/>
    </i>
    <i r="1">
      <x v="23"/>
    </i>
    <i r="1">
      <x v="27"/>
    </i>
    <i r="1">
      <x v="28"/>
    </i>
    <i r="1">
      <x v="34"/>
    </i>
    <i r="1">
      <x v="40"/>
    </i>
    <i r="1">
      <x v="47"/>
    </i>
    <i>
      <x v="1"/>
    </i>
    <i r="1">
      <x v="6"/>
    </i>
    <i r="1">
      <x v="18"/>
    </i>
    <i r="1">
      <x v="20"/>
    </i>
    <i r="1">
      <x v="29"/>
    </i>
    <i r="1">
      <x v="30"/>
    </i>
    <i r="1">
      <x v="33"/>
    </i>
    <i r="1">
      <x v="37"/>
    </i>
    <i r="1">
      <x v="38"/>
    </i>
    <i r="1">
      <x v="45"/>
    </i>
    <i>
      <x v="2"/>
    </i>
    <i r="1">
      <x v="1"/>
    </i>
    <i r="1">
      <x v="2"/>
    </i>
    <i r="1">
      <x v="8"/>
    </i>
    <i r="1">
      <x v="9"/>
    </i>
    <i r="1">
      <x v="16"/>
    </i>
    <i r="1">
      <x v="17"/>
    </i>
    <i r="1">
      <x v="19"/>
    </i>
    <i r="1">
      <x v="24"/>
    </i>
    <i r="1">
      <x v="26"/>
    </i>
    <i r="1">
      <x v="35"/>
    </i>
    <i r="1">
      <x v="39"/>
    </i>
    <i r="1">
      <x v="41"/>
    </i>
    <i r="1">
      <x v="42"/>
    </i>
    <i r="1">
      <x v="44"/>
    </i>
    <i r="1">
      <x v="48"/>
    </i>
    <i>
      <x v="3"/>
    </i>
    <i r="1">
      <x/>
    </i>
    <i r="1">
      <x v="3"/>
    </i>
    <i r="1">
      <x v="4"/>
    </i>
    <i r="1">
      <x v="5"/>
    </i>
    <i r="1">
      <x v="10"/>
    </i>
    <i r="1">
      <x v="12"/>
    </i>
    <i r="1">
      <x v="25"/>
    </i>
    <i r="1">
      <x v="31"/>
    </i>
    <i r="1">
      <x v="32"/>
    </i>
    <i r="1">
      <x v="36"/>
    </i>
    <i r="1">
      <x v="43"/>
    </i>
    <i r="1">
      <x v="46"/>
    </i>
    <i r="1">
      <x v="49"/>
    </i>
    <i t="grand">
      <x/>
    </i>
  </rowItems>
  <colFields count="1">
    <field x="-2"/>
  </colFields>
  <colItems count="2">
    <i>
      <x/>
    </i>
    <i i="1">
      <x v="1"/>
    </i>
  </colItems>
  <dataFields count="2">
    <dataField name="Average of 2023 Unemployment Rate" fld="14" subtotal="average" baseField="2" baseItem="0"/>
    <dataField name="Average of 2022 Unemployment Rate" fld="13" subtotal="average" baseField="2" baseItem="0"/>
  </dataFields>
  <chartFormats count="2">
    <chartFormat chart="1" format="3"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275B730-059D-4441-A060-AF022B1389C6}" name="Crime Rat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E3:F58" firstHeaderRow="1" firstDataRow="1" firstDataCol="1"/>
  <pivotFields count="15">
    <pivotField showAll="0">
      <items count="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t="default"/>
      </items>
    </pivotField>
    <pivotField axis="axisRow" showAll="0">
      <items count="51">
        <item x="1"/>
        <item x="0"/>
        <item x="3"/>
        <item x="2"/>
        <item x="4"/>
        <item x="5"/>
        <item x="6"/>
        <item x="7"/>
        <item x="8"/>
        <item x="9"/>
        <item x="10"/>
        <item x="14"/>
        <item x="11"/>
        <item x="12"/>
        <item x="13"/>
        <item x="15"/>
        <item x="16"/>
        <item x="17"/>
        <item x="20"/>
        <item x="19"/>
        <item x="18"/>
        <item x="21"/>
        <item x="22"/>
        <item x="24"/>
        <item x="23"/>
        <item x="25"/>
        <item x="32"/>
        <item x="33"/>
        <item x="26"/>
        <item x="28"/>
        <item x="29"/>
        <item x="30"/>
        <item x="27"/>
        <item x="31"/>
        <item x="34"/>
        <item x="35"/>
        <item x="36"/>
        <item x="37"/>
        <item x="38"/>
        <item x="39"/>
        <item x="40"/>
        <item x="41"/>
        <item x="42"/>
        <item x="43"/>
        <item x="45"/>
        <item x="44"/>
        <item x="46"/>
        <item x="48"/>
        <item x="47"/>
        <item x="49"/>
        <item t="default"/>
      </items>
    </pivotField>
    <pivotField axis="axisRow" showAll="0">
      <items count="5">
        <item x="3"/>
        <item x="2"/>
        <item x="0"/>
        <item x="1"/>
        <item t="default"/>
      </items>
    </pivotField>
    <pivotField numFmtId="10" showAll="0"/>
    <pivotField showAll="0"/>
    <pivotField numFmtId="10" showAll="0"/>
    <pivotField numFmtId="8" showAll="0"/>
    <pivotField dataField="1" numFmtId="1" showAll="0"/>
    <pivotField numFmtId="1" showAll="0">
      <items count="51">
        <item x="44"/>
        <item x="49"/>
        <item x="18"/>
        <item x="28"/>
        <item x="38"/>
        <item x="33"/>
        <item x="10"/>
        <item x="7"/>
        <item x="11"/>
        <item x="40"/>
        <item x="25"/>
        <item x="1"/>
        <item x="47"/>
        <item x="6"/>
        <item x="26"/>
        <item x="43"/>
        <item x="23"/>
        <item x="14"/>
        <item x="16"/>
        <item x="36"/>
        <item x="15"/>
        <item x="27"/>
        <item x="22"/>
        <item x="30"/>
        <item x="29"/>
        <item x="45"/>
        <item x="35"/>
        <item x="48"/>
        <item x="3"/>
        <item x="20"/>
        <item x="0"/>
        <item x="46"/>
        <item x="13"/>
        <item x="19"/>
        <item x="5"/>
        <item x="39"/>
        <item x="17"/>
        <item x="24"/>
        <item x="2"/>
        <item x="34"/>
        <item x="9"/>
        <item x="32"/>
        <item x="41"/>
        <item x="21"/>
        <item x="37"/>
        <item x="12"/>
        <item x="31"/>
        <item x="8"/>
        <item x="42"/>
        <item x="4"/>
        <item t="default"/>
      </items>
    </pivotField>
    <pivotField numFmtId="1" showAll="0"/>
    <pivotField numFmtId="1" showAll="0"/>
    <pivotField numFmtId="1" showAll="0"/>
    <pivotField numFmtId="1" showAll="0"/>
    <pivotField numFmtId="164" showAll="0"/>
    <pivotField numFmtId="164" showAll="0"/>
  </pivotFields>
  <rowFields count="2">
    <field x="2"/>
    <field x="1"/>
  </rowFields>
  <rowItems count="55">
    <i>
      <x/>
    </i>
    <i r="1">
      <x v="7"/>
    </i>
    <i r="1">
      <x v="11"/>
    </i>
    <i r="1">
      <x v="13"/>
    </i>
    <i r="1">
      <x v="14"/>
    </i>
    <i r="1">
      <x v="15"/>
    </i>
    <i r="1">
      <x v="21"/>
    </i>
    <i r="1">
      <x v="22"/>
    </i>
    <i r="1">
      <x v="23"/>
    </i>
    <i r="1">
      <x v="27"/>
    </i>
    <i r="1">
      <x v="28"/>
    </i>
    <i r="1">
      <x v="34"/>
    </i>
    <i r="1">
      <x v="40"/>
    </i>
    <i r="1">
      <x v="47"/>
    </i>
    <i>
      <x v="1"/>
    </i>
    <i r="1">
      <x v="6"/>
    </i>
    <i r="1">
      <x v="18"/>
    </i>
    <i r="1">
      <x v="20"/>
    </i>
    <i r="1">
      <x v="29"/>
    </i>
    <i r="1">
      <x v="30"/>
    </i>
    <i r="1">
      <x v="33"/>
    </i>
    <i r="1">
      <x v="37"/>
    </i>
    <i r="1">
      <x v="38"/>
    </i>
    <i r="1">
      <x v="45"/>
    </i>
    <i>
      <x v="2"/>
    </i>
    <i r="1">
      <x v="1"/>
    </i>
    <i r="1">
      <x v="2"/>
    </i>
    <i r="1">
      <x v="8"/>
    </i>
    <i r="1">
      <x v="9"/>
    </i>
    <i r="1">
      <x v="16"/>
    </i>
    <i r="1">
      <x v="17"/>
    </i>
    <i r="1">
      <x v="19"/>
    </i>
    <i r="1">
      <x v="24"/>
    </i>
    <i r="1">
      <x v="26"/>
    </i>
    <i r="1">
      <x v="35"/>
    </i>
    <i r="1">
      <x v="39"/>
    </i>
    <i r="1">
      <x v="41"/>
    </i>
    <i r="1">
      <x v="42"/>
    </i>
    <i r="1">
      <x v="44"/>
    </i>
    <i r="1">
      <x v="48"/>
    </i>
    <i>
      <x v="3"/>
    </i>
    <i r="1">
      <x/>
    </i>
    <i r="1">
      <x v="3"/>
    </i>
    <i r="1">
      <x v="4"/>
    </i>
    <i r="1">
      <x v="5"/>
    </i>
    <i r="1">
      <x v="10"/>
    </i>
    <i r="1">
      <x v="12"/>
    </i>
    <i r="1">
      <x v="25"/>
    </i>
    <i r="1">
      <x v="31"/>
    </i>
    <i r="1">
      <x v="32"/>
    </i>
    <i r="1">
      <x v="36"/>
    </i>
    <i r="1">
      <x v="43"/>
    </i>
    <i r="1">
      <x v="46"/>
    </i>
    <i r="1">
      <x v="49"/>
    </i>
    <i t="grand">
      <x/>
    </i>
  </rowItems>
  <colItems count="1">
    <i/>
  </colItems>
  <dataFields count="1">
    <dataField name="Sum of Crime Rate Per 100K" fld="7" baseField="0" baseItem="0"/>
  </dataFields>
  <chartFormats count="18">
    <chartFormat chart="3" format="7" series="1">
      <pivotArea type="data" outline="0" fieldPosition="0">
        <references count="1">
          <reference field="4294967294" count="1" selected="0">
            <x v="0"/>
          </reference>
        </references>
      </pivotArea>
    </chartFormat>
    <chartFormat chart="3" format="8">
      <pivotArea type="data" outline="0" fieldPosition="0">
        <references count="3">
          <reference field="4294967294" count="1" selected="0">
            <x v="0"/>
          </reference>
          <reference field="1" count="1" selected="0">
            <x v="6"/>
          </reference>
          <reference field="2" count="1" selected="0">
            <x v="1"/>
          </reference>
        </references>
      </pivotArea>
    </chartFormat>
    <chartFormat chart="3" format="9">
      <pivotArea type="data" outline="0" fieldPosition="0">
        <references count="3">
          <reference field="4294967294" count="1" selected="0">
            <x v="0"/>
          </reference>
          <reference field="1" count="1" selected="0">
            <x v="0"/>
          </reference>
          <reference field="2" count="1" selected="0">
            <x v="3"/>
          </reference>
        </references>
      </pivotArea>
    </chartFormat>
    <chartFormat chart="3" format="10">
      <pivotArea type="data" outline="0" fieldPosition="0">
        <references count="3">
          <reference field="4294967294" count="1" selected="0">
            <x v="0"/>
          </reference>
          <reference field="1" count="1" selected="0">
            <x v="7"/>
          </reference>
          <reference field="2" count="1" selected="0">
            <x v="0"/>
          </reference>
        </references>
      </pivotArea>
    </chartFormat>
    <chartFormat chart="3" format="11">
      <pivotArea type="data" outline="0" fieldPosition="0">
        <references count="3">
          <reference field="4294967294" count="1" selected="0">
            <x v="0"/>
          </reference>
          <reference field="1" count="1" selected="0">
            <x v="20"/>
          </reference>
          <reference field="2" count="1" selected="0">
            <x v="1"/>
          </reference>
        </references>
      </pivotArea>
    </chartFormat>
    <chartFormat chart="3" format="12">
      <pivotArea type="data" outline="0" fieldPosition="0">
        <references count="3">
          <reference field="4294967294" count="1" selected="0">
            <x v="0"/>
          </reference>
          <reference field="1" count="1" selected="0">
            <x v="13"/>
          </reference>
          <reference field="2" count="1" selected="0">
            <x v="0"/>
          </reference>
        </references>
      </pivotArea>
    </chartFormat>
    <chartFormat chart="3" format="13">
      <pivotArea type="data" outline="0" fieldPosition="0">
        <references count="3">
          <reference field="4294967294" count="1" selected="0">
            <x v="0"/>
          </reference>
          <reference field="1" count="1" selected="0">
            <x v="27"/>
          </reference>
          <reference field="2" count="1" selected="0">
            <x v="0"/>
          </reference>
        </references>
      </pivotArea>
    </chartFormat>
    <chartFormat chart="3" format="14">
      <pivotArea type="data" outline="0" fieldPosition="0">
        <references count="3">
          <reference field="4294967294" count="1" selected="0">
            <x v="0"/>
          </reference>
          <reference field="1" count="1" selected="0">
            <x v="34"/>
          </reference>
          <reference field="2" count="1" selected="0">
            <x v="0"/>
          </reference>
        </references>
      </pivotArea>
    </chartFormat>
    <chartFormat chart="3" format="15">
      <pivotArea type="data" outline="0" fieldPosition="0">
        <references count="3">
          <reference field="4294967294" count="1" selected="0">
            <x v="0"/>
          </reference>
          <reference field="1" count="1" selected="0">
            <x v="29"/>
          </reference>
          <reference field="2" count="1" selected="0">
            <x v="1"/>
          </reference>
        </references>
      </pivotArea>
    </chartFormat>
    <chartFormat chart="3" format="16">
      <pivotArea type="data" outline="0" fieldPosition="0">
        <references count="3">
          <reference field="4294967294" count="1" selected="0">
            <x v="0"/>
          </reference>
          <reference field="1" count="1" selected="0">
            <x v="45"/>
          </reference>
          <reference field="2" count="1" selected="0">
            <x v="1"/>
          </reference>
        </references>
      </pivotArea>
    </chartFormat>
    <chartFormat chart="3" format="17">
      <pivotArea type="data" outline="0" fieldPosition="0">
        <references count="3">
          <reference field="4294967294" count="1" selected="0">
            <x v="0"/>
          </reference>
          <reference field="1" count="1" selected="0">
            <x v="35"/>
          </reference>
          <reference field="2" count="1" selected="0">
            <x v="2"/>
          </reference>
        </references>
      </pivotArea>
    </chartFormat>
    <chartFormat chart="3" format="18">
      <pivotArea type="data" outline="0" fieldPosition="0">
        <references count="3">
          <reference field="4294967294" count="1" selected="0">
            <x v="0"/>
          </reference>
          <reference field="1" count="1" selected="0">
            <x v="39"/>
          </reference>
          <reference field="2" count="1" selected="0">
            <x v="2"/>
          </reference>
        </references>
      </pivotArea>
    </chartFormat>
    <chartFormat chart="3" format="19">
      <pivotArea type="data" outline="0" fieldPosition="0">
        <references count="3">
          <reference field="4294967294" count="1" selected="0">
            <x v="0"/>
          </reference>
          <reference field="1" count="1" selected="0">
            <x v="48"/>
          </reference>
          <reference field="2" count="1" selected="0">
            <x v="2"/>
          </reference>
        </references>
      </pivotArea>
    </chartFormat>
    <chartFormat chart="3" format="20">
      <pivotArea type="data" outline="0" fieldPosition="0">
        <references count="3">
          <reference field="4294967294" count="1" selected="0">
            <x v="0"/>
          </reference>
          <reference field="1" count="1" selected="0">
            <x v="32"/>
          </reference>
          <reference field="2" count="1" selected="0">
            <x v="3"/>
          </reference>
        </references>
      </pivotArea>
    </chartFormat>
    <chartFormat chart="3" format="21">
      <pivotArea type="data" outline="0" fieldPosition="0">
        <references count="3">
          <reference field="4294967294" count="1" selected="0">
            <x v="0"/>
          </reference>
          <reference field="1" count="1" selected="0">
            <x v="43"/>
          </reference>
          <reference field="2" count="1" selected="0">
            <x v="3"/>
          </reference>
        </references>
      </pivotArea>
    </chartFormat>
    <chartFormat chart="3" format="22">
      <pivotArea type="data" outline="0" fieldPosition="0">
        <references count="3">
          <reference field="4294967294" count="1" selected="0">
            <x v="0"/>
          </reference>
          <reference field="1" count="1" selected="0">
            <x v="4"/>
          </reference>
          <reference field="2" count="1" selected="0">
            <x v="3"/>
          </reference>
        </references>
      </pivotArea>
    </chartFormat>
    <chartFormat chart="3" format="23">
      <pivotArea type="data" outline="0" fieldPosition="0">
        <references count="3">
          <reference field="4294967294" count="1" selected="0">
            <x v="0"/>
          </reference>
          <reference field="1" count="1" selected="0">
            <x v="8"/>
          </reference>
          <reference field="2" count="1" selected="0">
            <x v="2"/>
          </reference>
        </references>
      </pivotArea>
    </chartFormat>
    <chartFormat chart="3" format="24">
      <pivotArea type="data" outline="0" fieldPosition="0">
        <references count="3">
          <reference field="4294967294" count="1" selected="0">
            <x v="0"/>
          </reference>
          <reference field="1" count="1" selected="0">
            <x v="19"/>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2001D4A6-E753-408F-B67E-D4AD674BB7C1}" autoFormatId="16" applyNumberFormats="0" applyBorderFormats="0" applyFontFormats="0" applyPatternFormats="0" applyAlignmentFormats="0" applyWidthHeightFormats="0">
  <queryTableRefresh nextId="7">
    <queryTableFields count="6">
      <queryTableField id="1" name="State" tableColumnId="1"/>
      <queryTableField id="6" dataBound="0" tableColumnId="6"/>
      <queryTableField id="2" name="Average Temperature (F)" tableColumnId="2"/>
      <queryTableField id="3" name="Average Annual Precipitation (inches)" tableColumnId="3"/>
      <queryTableField id="4" name="Average High Temperature (F)" tableColumnId="4"/>
      <queryTableField id="5" name="Average Low Temperature (C)"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4EC0360D-06B7-4E50-8668-C837CB23B1D2}" sourceName="State">
  <pivotTables>
    <pivotTable tabId="16" name="Healthcare"/>
    <pivotTable tabId="16" name="College Acceptance"/>
    <pivotTable tabId="16" name="Crime Rate"/>
    <pivotTable tabId="16" name="Employment"/>
    <pivotTable tabId="16" name="Temperature"/>
  </pivotTables>
  <data>
    <tabular pivotCacheId="2038256255">
      <items count="50">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6D490E0-746B-4DEF-9E32-C771E69736A5}" sourceName="Region">
  <pivotTables>
    <pivotTable tabId="16" name="College Acceptance"/>
    <pivotTable tabId="16" name="Crime Rate"/>
    <pivotTable tabId="16" name="Employment"/>
    <pivotTable tabId="16" name="Healthcare"/>
    <pivotTable tabId="16" name="Temperature"/>
  </pivotTables>
  <data>
    <tabular pivotCacheId="2038256255">
      <items count="4">
        <i x="3" s="1"/>
        <i x="2"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D41775B0-7F29-4EF5-B65F-16619803F0F9}" cache="Slicer_State" caption="State" startItem="16" columnCount="2" rowHeight="274320"/>
  <slicer name="Region" xr10:uid="{BB717B7D-3D66-47F1-B62C-9AA5D4493394}" cache="Slicer_Region" caption="Region" columnCount="4" rowHeight="365760"/>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99F8AF8-76F0-8C43-9E61-F354746D6E5A}" name="Abbreviations" displayName="Abbreviations" ref="A1:B52" totalsRowShown="0" headerRowDxfId="117" dataDxfId="116">
  <autoFilter ref="A1:B52" xr:uid="{A99F8AF8-76F0-8C43-9E61-F354746D6E5A}"/>
  <tableColumns count="2">
    <tableColumn id="1" xr3:uid="{940E783A-9F8A-4B46-BC3F-F08B6CFCBD1D}" name="Abbreviation" dataDxfId="115"/>
    <tableColumn id="2" xr3:uid="{7D7333FD-96D9-E940-A047-270D103AFC71}" name="State" dataDxfId="11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B2389EA-B1AC-354A-B5CF-F75396FD2912}" name="College_Stats" displayName="College_Stats" ref="A1:I51" totalsRowShown="0" headerRowDxfId="109" dataDxfId="108">
  <autoFilter ref="A1:I51" xr:uid="{BB2389EA-B1AC-354A-B5CF-F75396FD2912}"/>
  <tableColumns count="9">
    <tableColumn id="1" xr3:uid="{EF632E3D-C0E5-144B-9E4F-DFE85EE60968}" name="State" dataDxfId="107" dataCellStyle="Hyperlink"/>
    <tableColumn id="9" xr3:uid="{547E0036-3379-4015-A9C2-1E8BDB63022E}" name="State Code" dataDxfId="106" dataCellStyle="Hyperlink"/>
    <tableColumn id="2" xr3:uid="{D6CF11A0-8AC3-3144-BE86-AEA8B5B55144}" name="Number of Universities (Public/Private)" dataDxfId="105"/>
    <tableColumn id="3" xr3:uid="{982D03D2-88B6-4E46-BA78-81982DC6C652}" name="Acceptance Rate" dataDxfId="104"/>
    <tableColumn id="4" xr3:uid="{E03B47EB-2653-4146-9FAD-3B6A873B6BCA}" name="SAT Score" dataDxfId="103"/>
    <tableColumn id="5" xr3:uid="{B9377C84-86A4-5446-A92C-3AFD65AC38D1}" name="Average Tuition (For Residents)" dataDxfId="102"/>
    <tableColumn id="6" xr3:uid="{7C5C0DB7-24CB-EA4F-AFE9-FDC754B6C86C}" name="Student Population" dataDxfId="101"/>
    <tableColumn id="7" xr3:uid="{CFCD0E12-94B4-DC4A-A62A-939A92E64724}" name="Graduation Rate" dataDxfId="100"/>
    <tableColumn id="8" xr3:uid="{F16209A0-CE93-DC41-BEF8-5D0E2EBDE628}" name="Student to Faculty Ratio" dataDxfId="9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DF92F84-F43D-EC4A-BC04-56EE7B157C86}" name="Healthcare" displayName="Healthcare" ref="A1:C51" totalsRowShown="0" headerRowDxfId="96" dataDxfId="95">
  <autoFilter ref="A1:C51" xr:uid="{1DF92F84-F43D-EC4A-BC04-56EE7B157C86}"/>
  <tableColumns count="3">
    <tableColumn id="1" xr3:uid="{1E183437-76B2-504A-989D-C79745DB36E2}" name="State" dataDxfId="94"/>
    <tableColumn id="4" xr3:uid="{43E00038-4BAD-4805-81E0-479C99725E2D}" name="State Code" dataDxfId="93"/>
    <tableColumn id="2" xr3:uid="{D6784EEE-775F-BF44-A07F-3C00073E7705}" name="Total Healthcare Spending (millions)" dataDxfId="9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D21EF48-1E47-8B4D-89F3-D7D4C23BB4EB}" name="Crime_Index" displayName="Crime_Index" ref="A1:I51" totalsRowShown="0" headerRowDxfId="89" dataDxfId="88">
  <autoFilter ref="A1:I51" xr:uid="{AD21EF48-1E47-8B4D-89F3-D7D4C23BB4EB}"/>
  <tableColumns count="9">
    <tableColumn id="1" xr3:uid="{AC0F8994-4062-524A-A91F-C24971A0B86A}" name="States" dataDxfId="87"/>
    <tableColumn id="9" xr3:uid="{4A410F33-1806-476B-894E-558F0C00D164}" name="State Code" dataDxfId="86"/>
    <tableColumn id="2" xr3:uid="{FD613676-BBC0-104A-9BB5-F339E373CD88}" name="2020 Population" dataDxfId="85"/>
    <tableColumn id="3" xr3:uid="{7B5D990F-9148-3446-82EC-9FBD4008DFBB}" name="Crime Reported" dataDxfId="84"/>
    <tableColumn id="4" xr3:uid="{8DD368CC-7720-D546-A396-CD2157FE732A}" name="Crime Rate Per 100k" dataDxfId="83"/>
    <tableColumn id="5" xr3:uid="{0EE4CDB9-D3A7-A042-BFF7-E57887839BE1}" name="Violent Crimes" dataDxfId="82"/>
    <tableColumn id="6" xr3:uid="{BDB199D4-5F9B-CF45-9717-91A070415DDF}" name="Violent Crime Rate" dataDxfId="81"/>
    <tableColumn id="7" xr3:uid="{58DE471A-7EA8-F642-BAF1-7190D72789A1}" name="Non-Violent Crimes" dataDxfId="80"/>
    <tableColumn id="8" xr3:uid="{9038F696-2C8B-4649-A321-BA5507898CE2}" name="Non-Violent Crime Rate" dataDxfId="7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DCB7ADC-4618-4B29-A8EA-3B237B5DE587}" name="Weather_Report" displayName="Weather_Report" ref="A1:F51" tableType="queryTable" totalsRowShown="0" headerRowDxfId="76" dataDxfId="75">
  <autoFilter ref="A1:F51" xr:uid="{7DCB7ADC-4618-4B29-A8EA-3B237B5DE587}"/>
  <tableColumns count="6">
    <tableColumn id="1" xr3:uid="{0F635FF4-A1CB-48AF-8380-CD3FD37A6F49}" uniqueName="1" name="State" queryTableFieldId="1" dataDxfId="74"/>
    <tableColumn id="6" xr3:uid="{05B419F6-9683-4106-BD30-AD7DCD16C679}" uniqueName="6" name="State Code" queryTableFieldId="6" dataDxfId="73"/>
    <tableColumn id="2" xr3:uid="{69E974AA-6258-494C-B7D7-61DB0BE75A8B}" uniqueName="2" name="Average Temperature (F)" queryTableFieldId="2" dataDxfId="72"/>
    <tableColumn id="3" xr3:uid="{27F38E78-DA4E-4437-8590-0B808D10F132}" uniqueName="3" name="Average Annual Precipitation (inches)" queryTableFieldId="3" dataDxfId="71"/>
    <tableColumn id="4" xr3:uid="{045EC739-BBDA-4FD4-9F27-77EF5C8FF8C7}" uniqueName="4" name="Average High Temperature (F)" queryTableFieldId="4" dataDxfId="70"/>
    <tableColumn id="5" xr3:uid="{0E4279C9-B92C-43C8-9480-3983C176120B}" uniqueName="5" name="Average Low Temperature (C)" queryTableFieldId="5" dataDxfId="6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B3260D2-039B-8B43-A10E-E26B39AD4672}" name="Unemployment_Rates" displayName="Unemployment_Rates" ref="A1:D51" totalsRowShown="0" headerRowDxfId="64" dataDxfId="63">
  <autoFilter ref="A1:D51" xr:uid="{CB3260D2-039B-8B43-A10E-E26B39AD4672}"/>
  <tableColumns count="4">
    <tableColumn id="3" xr3:uid="{CD220368-6562-9045-AE88-9235E13526A6}" name="State" dataDxfId="62"/>
    <tableColumn id="9" xr3:uid="{963B0699-1DBA-F142-8A80-E5DC8A6E2117}" name="2022 Unemployment Rate" dataDxfId="61" dataCellStyle="Percent"/>
    <tableColumn id="12" xr3:uid="{D6A52656-9B6D-AE48-A624-8B1B20214C77}" name="2023 Unemployment Rate" dataDxfId="60" dataCellStyle="Percent"/>
    <tableColumn id="1" xr3:uid="{669E7DA3-1B88-4642-A2AB-FEA9000576FA}" name="State Abbreviations" dataDxfId="5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03C3476-80B5-AC48-B104-02FB50B455FB}" name="Master_Data" displayName="Master_Data" ref="A1:O51" totalsRowShown="0" headerRowDxfId="58" dataDxfId="57">
  <autoFilter ref="A1:O51" xr:uid="{103C3476-80B5-AC48-B104-02FB50B455FB}"/>
  <sortState xmlns:xlrd2="http://schemas.microsoft.com/office/spreadsheetml/2017/richdata2" ref="A2:O51">
    <sortCondition ref="A1:A51"/>
  </sortState>
  <tableColumns count="15">
    <tableColumn id="1" xr3:uid="{B8F6D4C3-F125-9347-883B-EA64430DBAAC}" name="State" dataDxfId="56" dataCellStyle="Hyperlink"/>
    <tableColumn id="2" xr3:uid="{6B9F3505-D1AF-4DB7-9A17-5DC9318505EC}" name="State Code" dataDxfId="55" dataCellStyle="Hyperlink"/>
    <tableColumn id="4" xr3:uid="{9EA3F6A8-F49B-42C5-B39E-E141E45200B7}" name="Region"/>
    <tableColumn id="3" xr3:uid="{9287EE8E-D991-DC47-852F-0BF97D0F0C01}" name="College Acceptance Rate" dataDxfId="54"/>
    <tableColumn id="5" xr3:uid="{8B11503C-DF3F-5A4C-8117-89B6B0360382}" name="Average Tuition (For Residents)" dataDxfId="53"/>
    <tableColumn id="7" xr3:uid="{BE1B38D3-6705-1E46-B634-B2BE0F5BC7A3}" name="Graduation Rate" dataDxfId="52"/>
    <tableColumn id="14" xr3:uid="{849C79C1-B12A-B046-99D1-50E0FD1EF365}" name="Total Healthcare Spending (in millions)" dataDxfId="51"/>
    <tableColumn id="17" xr3:uid="{BC5A5390-CF76-764F-8A26-343CF05CD6D9}" name="Crime Rate Per 100K" dataDxfId="50" dataCellStyle="Comma"/>
    <tableColumn id="16" xr3:uid="{80B6915D-B46B-DB44-8F07-CF2B51F63E59}" name="Violent Crimes" dataDxfId="49" dataCellStyle="Comma"/>
    <tableColumn id="15" xr3:uid="{2A35E11B-6210-E946-B438-B977E6249672}" name="Non-Violent Crimes" dataDxfId="48" dataCellStyle="Comma"/>
    <tableColumn id="9" xr3:uid="{FCDC06C5-0B04-3F46-A22F-78B33FF51D35}" name="Average Temperature (F)" dataDxfId="47"/>
    <tableColumn id="11" xr3:uid="{F8B248CC-C02D-8C49-9239-2F7F503521AF}" name="Average High Temperature (F)" dataDxfId="46"/>
    <tableColumn id="12" xr3:uid="{1DA7DE7C-FB81-8449-9885-07D4F0679788}" name="Average Low Temperature (F)" dataDxfId="45"/>
    <tableColumn id="8" xr3:uid="{D077032C-14E5-6A49-B1FC-C032085E5438}" name="2022 Unemployment Rate" dataDxfId="44" dataCellStyle="Percent"/>
    <tableColumn id="13" xr3:uid="{D3997BC6-8E89-6142-A009-BBA6062A9560}" name="2023 Unemployment Rate" dataDxfId="43" dataCellStyle="Percen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6D75799-2435-45FA-87E3-DFCB2D789091}" name="Table11" displayName="Table11" ref="A12:C19" totalsRowShown="0" headerRowDxfId="42" dataDxfId="41">
  <autoFilter ref="A12:C19" xr:uid="{06D75799-2435-45FA-87E3-DFCB2D789091}"/>
  <sortState xmlns:xlrd2="http://schemas.microsoft.com/office/spreadsheetml/2017/richdata2" ref="A13:C19">
    <sortCondition ref="C12:C19"/>
  </sortState>
  <tableColumns count="3">
    <tableColumn id="1" xr3:uid="{010091E2-0DF6-47A1-98B9-016B19C62D23}" name="Rank" dataDxfId="40"/>
    <tableColumn id="2" xr3:uid="{F4D3E392-2633-4650-BD97-54BDF4C95C55}" name="State" dataDxfId="1"/>
    <tableColumn id="3" xr3:uid="{34F23E25-E6AC-4B5B-8190-3D75CAE898FA}" name="Acceptance Rate" dataDxfId="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5F8EA6A-2249-9044-B941-6B903937D3F4}" name="Sources" displayName="Sources" ref="A1:C6" totalsRowShown="0" headerRowDxfId="39" dataDxfId="38">
  <autoFilter ref="A1:C6" xr:uid="{A5F8EA6A-2249-9044-B941-6B903937D3F4}"/>
  <tableColumns count="3">
    <tableColumn id="1" xr3:uid="{ED709718-71D9-C24A-B58E-B5E0F557CD25}" name="Website Name" dataDxfId="37" dataCellStyle="Hyperlink"/>
    <tableColumn id="2" xr3:uid="{9767F99D-0607-E043-91E1-C50D65503FF2}" name="Website URL" dataDxfId="36" dataCellStyle="Hyperlink"/>
    <tableColumn id="3" xr3:uid="{1B7F7DB0-5CD8-5141-B01F-D9E6441CF560}" name="Type of Data" dataDxfId="35"/>
  </tableColumns>
  <tableStyleInfo name="TableStyleMedium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6BEBCD5-4125-4A85-9DE3-8E9B286BD817}" name="Safety_Table" displayName="Safety_Table" ref="A2:B10" totalsRowShown="0" headerRowDxfId="34" dataDxfId="32" headerRowBorderDxfId="33" tableBorderDxfId="31" totalsRowBorderDxfId="30">
  <autoFilter ref="A2:B10" xr:uid="{D6BEBCD5-4125-4A85-9DE3-8E9B286BD817}"/>
  <tableColumns count="2">
    <tableColumn id="1" xr3:uid="{C5E24354-929E-43D4-B9C1-0F45B64FD39A}" name="State" dataDxfId="29"/>
    <tableColumn id="2" xr3:uid="{B06E50A3-BE2D-4B55-A597-A0AE5E6F3664}" name="Crimes" dataDxfId="2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ECD3229-FE3A-4467-801C-C4FA5B385279}" name="Number_of_Universities_Table" displayName="Number_of_Universities_Table" ref="D2:E10" totalsRowShown="0" headerRowDxfId="27" dataDxfId="25" headerRowBorderDxfId="26" tableBorderDxfId="24" totalsRowBorderDxfId="23">
  <autoFilter ref="D2:E10" xr:uid="{2ECD3229-FE3A-4467-801C-C4FA5B385279}"/>
  <tableColumns count="2">
    <tableColumn id="1" xr3:uid="{703FDBCE-EDD9-4345-A779-F832828A9ED4}" name="State" dataDxfId="22"/>
    <tableColumn id="2" xr3:uid="{C48A0D6C-3A69-4AF6-BC9A-CBF674FA9520}" name="Number of Universities " dataDxfId="2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BE43FC3-051E-4439-A224-27AC15AF4BD1}" name="Acceptance_Rate_Table" displayName="Acceptance_Rate_Table" ref="A24:B32" totalsRowShown="0" headerRowDxfId="20" headerRowBorderDxfId="19" tableBorderDxfId="18" totalsRowBorderDxfId="17">
  <autoFilter ref="A24:B32" xr:uid="{9BE43FC3-051E-4439-A224-27AC15AF4BD1}"/>
  <tableColumns count="2">
    <tableColumn id="1" xr3:uid="{10222A7A-E584-46EA-A02B-24347E6474AA}" name="State" dataDxfId="16"/>
    <tableColumn id="2" xr3:uid="{D4ABD122-626F-4692-89E8-5CA4B8CF4907}" name="Acceptance Rate" dataDxfId="1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34DC0FC-6FED-447F-9DD0-F7F4583EE994}" name="Healthcare_Table" displayName="Healthcare_Table" ref="A13:B21" totalsRowShown="0" headerRowDxfId="14" dataDxfId="12" headerRowBorderDxfId="13" tableBorderDxfId="11" totalsRowBorderDxfId="10">
  <autoFilter ref="A13:B21" xr:uid="{F34DC0FC-6FED-447F-9DD0-F7F4583EE994}"/>
  <tableColumns count="2">
    <tableColumn id="1" xr3:uid="{A46A64AB-3F70-45FC-BF18-AB5F6665C03B}" name="State " dataDxfId="9"/>
    <tableColumn id="2" xr3:uid="{6835822C-7C60-48DB-A8BD-AEAB8B002671}" name="Total Healthcare Spending" dataDxfId="8"/>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6A75EC5-DF85-4D78-901C-6A5AC8726D78}" name="College_Fees_Table" displayName="College_Fees_Table" ref="D13:E21" totalsRowShown="0" headerRowDxfId="7" headerRowBorderDxfId="6" tableBorderDxfId="5" totalsRowBorderDxfId="4">
  <autoFilter ref="D13:E21" xr:uid="{D6A75EC5-DF85-4D78-901C-6A5AC8726D78}"/>
  <tableColumns count="2">
    <tableColumn id="1" xr3:uid="{0115A5C8-017E-415A-9F2D-3B5DC4066EF7}" name="State " dataDxfId="3"/>
    <tableColumn id="2" xr3:uid="{4D2815A8-0DD4-4985-9256-E845B70183A5}" name="Tuition Fees"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3" Type="http://schemas.openxmlformats.org/officeDocument/2006/relationships/hyperlink" Target="https://www.univstats.com/states/pennsylvania" TargetMode="External"/><Relationship Id="rId18" Type="http://schemas.openxmlformats.org/officeDocument/2006/relationships/hyperlink" Target="https://www.univstats.com/states/nevada" TargetMode="External"/><Relationship Id="rId26" Type="http://schemas.openxmlformats.org/officeDocument/2006/relationships/hyperlink" Target="https://www.univstats.com/states/mississippi" TargetMode="External"/><Relationship Id="rId39" Type="http://schemas.openxmlformats.org/officeDocument/2006/relationships/hyperlink" Target="https://www.univstats.com/states/iowa" TargetMode="External"/><Relationship Id="rId21" Type="http://schemas.openxmlformats.org/officeDocument/2006/relationships/hyperlink" Target="https://www.univstats.com/states/new-hampshire" TargetMode="External"/><Relationship Id="rId34" Type="http://schemas.openxmlformats.org/officeDocument/2006/relationships/hyperlink" Target="https://www.univstats.com/states/kentucky" TargetMode="External"/><Relationship Id="rId42" Type="http://schemas.openxmlformats.org/officeDocument/2006/relationships/hyperlink" Target="https://www.univstats.com/states/florida" TargetMode="External"/><Relationship Id="rId47" Type="http://schemas.openxmlformats.org/officeDocument/2006/relationships/hyperlink" Target="https://www.univstats.com/states/arizona" TargetMode="External"/><Relationship Id="rId50" Type="http://schemas.openxmlformats.org/officeDocument/2006/relationships/hyperlink" Target="https://www.univstats.com/states/alaska" TargetMode="External"/><Relationship Id="rId55" Type="http://schemas.openxmlformats.org/officeDocument/2006/relationships/table" Target="../tables/table2.xml"/><Relationship Id="rId7" Type="http://schemas.openxmlformats.org/officeDocument/2006/relationships/hyperlink" Target="https://www.univstats.com/states/utah" TargetMode="External"/><Relationship Id="rId2" Type="http://schemas.openxmlformats.org/officeDocument/2006/relationships/hyperlink" Target="https://www.univstats.com/states/west-virginia" TargetMode="External"/><Relationship Id="rId16" Type="http://schemas.openxmlformats.org/officeDocument/2006/relationships/hyperlink" Target="https://www.univstats.com/states/ohio" TargetMode="External"/><Relationship Id="rId29" Type="http://schemas.openxmlformats.org/officeDocument/2006/relationships/hyperlink" Target="https://www.univstats.com/states/michigan" TargetMode="External"/><Relationship Id="rId11" Type="http://schemas.openxmlformats.org/officeDocument/2006/relationships/hyperlink" Target="https://www.univstats.com/states/south-carolina" TargetMode="External"/><Relationship Id="rId24" Type="http://schemas.openxmlformats.org/officeDocument/2006/relationships/hyperlink" Target="https://www.univstats.com/states/north-carolina" TargetMode="External"/><Relationship Id="rId32" Type="http://schemas.openxmlformats.org/officeDocument/2006/relationships/hyperlink" Target="https://www.univstats.com/states/massachusetts" TargetMode="External"/><Relationship Id="rId37" Type="http://schemas.openxmlformats.org/officeDocument/2006/relationships/hyperlink" Target="https://www.univstats.com/states/illinois" TargetMode="External"/><Relationship Id="rId40" Type="http://schemas.openxmlformats.org/officeDocument/2006/relationships/hyperlink" Target="https://www.univstats.com/states/hawaii" TargetMode="External"/><Relationship Id="rId45" Type="http://schemas.openxmlformats.org/officeDocument/2006/relationships/hyperlink" Target="https://www.univstats.com/states/colorado" TargetMode="External"/><Relationship Id="rId53" Type="http://schemas.openxmlformats.org/officeDocument/2006/relationships/vmlDrawing" Target="../drawings/vmlDrawing1.vml"/><Relationship Id="rId5" Type="http://schemas.openxmlformats.org/officeDocument/2006/relationships/hyperlink" Target="https://www.univstats.com/states/vermont" TargetMode="External"/><Relationship Id="rId10" Type="http://schemas.openxmlformats.org/officeDocument/2006/relationships/hyperlink" Target="https://www.univstats.com/states/south-dakota" TargetMode="External"/><Relationship Id="rId19" Type="http://schemas.openxmlformats.org/officeDocument/2006/relationships/hyperlink" Target="https://www.univstats.com/states/new-mexico" TargetMode="External"/><Relationship Id="rId31" Type="http://schemas.openxmlformats.org/officeDocument/2006/relationships/hyperlink" Target="https://www.univstats.com/states/maryland" TargetMode="External"/><Relationship Id="rId44" Type="http://schemas.openxmlformats.org/officeDocument/2006/relationships/hyperlink" Target="https://www.univstats.com/states/connecticut" TargetMode="External"/><Relationship Id="rId52" Type="http://schemas.openxmlformats.org/officeDocument/2006/relationships/drawing" Target="../drawings/drawing1.xml"/><Relationship Id="rId4" Type="http://schemas.openxmlformats.org/officeDocument/2006/relationships/hyperlink" Target="https://www.univstats.com/states/washington" TargetMode="External"/><Relationship Id="rId9" Type="http://schemas.openxmlformats.org/officeDocument/2006/relationships/hyperlink" Target="https://www.univstats.com/states/tennessee" TargetMode="External"/><Relationship Id="rId14" Type="http://schemas.openxmlformats.org/officeDocument/2006/relationships/hyperlink" Target="https://www.univstats.com/states/oregon" TargetMode="External"/><Relationship Id="rId22" Type="http://schemas.openxmlformats.org/officeDocument/2006/relationships/hyperlink" Target="https://www.univstats.com/states/nebraska" TargetMode="External"/><Relationship Id="rId27" Type="http://schemas.openxmlformats.org/officeDocument/2006/relationships/hyperlink" Target="https://www.univstats.com/states/missouri" TargetMode="External"/><Relationship Id="rId30" Type="http://schemas.openxmlformats.org/officeDocument/2006/relationships/hyperlink" Target="https://www.univstats.com/states/maine" TargetMode="External"/><Relationship Id="rId35" Type="http://schemas.openxmlformats.org/officeDocument/2006/relationships/hyperlink" Target="https://www.univstats.com/states/kansas" TargetMode="External"/><Relationship Id="rId43" Type="http://schemas.openxmlformats.org/officeDocument/2006/relationships/hyperlink" Target="https://www.univstats.com/states/delaware" TargetMode="External"/><Relationship Id="rId48" Type="http://schemas.openxmlformats.org/officeDocument/2006/relationships/hyperlink" Target="https://www.univstats.com/states/arkansas" TargetMode="External"/><Relationship Id="rId8" Type="http://schemas.openxmlformats.org/officeDocument/2006/relationships/hyperlink" Target="https://www.univstats.com/states/texas" TargetMode="External"/><Relationship Id="rId51" Type="http://schemas.openxmlformats.org/officeDocument/2006/relationships/printerSettings" Target="../printerSettings/printerSettings1.bin"/><Relationship Id="rId3" Type="http://schemas.openxmlformats.org/officeDocument/2006/relationships/hyperlink" Target="https://www.univstats.com/states/wisconsin" TargetMode="External"/><Relationship Id="rId12" Type="http://schemas.openxmlformats.org/officeDocument/2006/relationships/hyperlink" Target="https://www.univstats.com/states/rhode-island" TargetMode="External"/><Relationship Id="rId17" Type="http://schemas.openxmlformats.org/officeDocument/2006/relationships/hyperlink" Target="https://www.univstats.com/states/new-york" TargetMode="External"/><Relationship Id="rId25" Type="http://schemas.openxmlformats.org/officeDocument/2006/relationships/hyperlink" Target="https://www.univstats.com/states/montana" TargetMode="External"/><Relationship Id="rId33" Type="http://schemas.openxmlformats.org/officeDocument/2006/relationships/hyperlink" Target="https://www.univstats.com/states/louisiana" TargetMode="External"/><Relationship Id="rId38" Type="http://schemas.openxmlformats.org/officeDocument/2006/relationships/hyperlink" Target="https://www.univstats.com/states/idaho" TargetMode="External"/><Relationship Id="rId46" Type="http://schemas.openxmlformats.org/officeDocument/2006/relationships/hyperlink" Target="https://www.univstats.com/states/california" TargetMode="External"/><Relationship Id="rId20" Type="http://schemas.openxmlformats.org/officeDocument/2006/relationships/hyperlink" Target="https://www.univstats.com/states/new-jersey" TargetMode="External"/><Relationship Id="rId41" Type="http://schemas.openxmlformats.org/officeDocument/2006/relationships/hyperlink" Target="https://www.univstats.com/states/georgia" TargetMode="External"/><Relationship Id="rId54" Type="http://schemas.openxmlformats.org/officeDocument/2006/relationships/ctrlProp" Target="../ctrlProps/ctrlProp1.xml"/><Relationship Id="rId1" Type="http://schemas.openxmlformats.org/officeDocument/2006/relationships/hyperlink" Target="https://www.univstats.com/states/wyoming" TargetMode="External"/><Relationship Id="rId6" Type="http://schemas.openxmlformats.org/officeDocument/2006/relationships/hyperlink" Target="https://www.univstats.com/states/virginia" TargetMode="External"/><Relationship Id="rId15" Type="http://schemas.openxmlformats.org/officeDocument/2006/relationships/hyperlink" Target="https://www.univstats.com/states/oklahoma" TargetMode="External"/><Relationship Id="rId23" Type="http://schemas.openxmlformats.org/officeDocument/2006/relationships/hyperlink" Target="https://www.univstats.com/states/north-dakota" TargetMode="External"/><Relationship Id="rId28" Type="http://schemas.openxmlformats.org/officeDocument/2006/relationships/hyperlink" Target="https://www.univstats.com/states/minnesota" TargetMode="External"/><Relationship Id="rId36" Type="http://schemas.openxmlformats.org/officeDocument/2006/relationships/hyperlink" Target="https://www.univstats.com/states/indiana" TargetMode="External"/><Relationship Id="rId49" Type="http://schemas.openxmlformats.org/officeDocument/2006/relationships/hyperlink" Target="https://www.univstats.com/states/alabama"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3" Type="http://schemas.openxmlformats.org/officeDocument/2006/relationships/hyperlink" Target="https://worldpopulationreview.com/states/illinois" TargetMode="External"/><Relationship Id="rId18" Type="http://schemas.openxmlformats.org/officeDocument/2006/relationships/hyperlink" Target="https://worldpopulationreview.com/states/louisiana" TargetMode="External"/><Relationship Id="rId26" Type="http://schemas.openxmlformats.org/officeDocument/2006/relationships/hyperlink" Target="https://worldpopulationreview.com/states/montana" TargetMode="External"/><Relationship Id="rId39" Type="http://schemas.openxmlformats.org/officeDocument/2006/relationships/hyperlink" Target="https://worldpopulationreview.com/states/rhode-island" TargetMode="External"/><Relationship Id="rId21" Type="http://schemas.openxmlformats.org/officeDocument/2006/relationships/hyperlink" Target="https://worldpopulationreview.com/states/massachusetts" TargetMode="External"/><Relationship Id="rId34" Type="http://schemas.openxmlformats.org/officeDocument/2006/relationships/hyperlink" Target="https://worldpopulationreview.com/states/north-dakota" TargetMode="External"/><Relationship Id="rId42" Type="http://schemas.openxmlformats.org/officeDocument/2006/relationships/hyperlink" Target="https://worldpopulationreview.com/states/tennessee" TargetMode="External"/><Relationship Id="rId47" Type="http://schemas.openxmlformats.org/officeDocument/2006/relationships/hyperlink" Target="https://worldpopulationreview.com/states/washington" TargetMode="External"/><Relationship Id="rId50" Type="http://schemas.openxmlformats.org/officeDocument/2006/relationships/hyperlink" Target="https://worldpopulationreview.com/states/wyoming" TargetMode="External"/><Relationship Id="rId55" Type="http://schemas.openxmlformats.org/officeDocument/2006/relationships/table" Target="../tables/table4.xml"/><Relationship Id="rId7" Type="http://schemas.openxmlformats.org/officeDocument/2006/relationships/hyperlink" Target="https://worldpopulationreview.com/states/connecticut" TargetMode="External"/><Relationship Id="rId2" Type="http://schemas.openxmlformats.org/officeDocument/2006/relationships/hyperlink" Target="https://worldpopulationreview.com/states/alaska" TargetMode="External"/><Relationship Id="rId16" Type="http://schemas.openxmlformats.org/officeDocument/2006/relationships/hyperlink" Target="https://worldpopulationreview.com/states/kansas" TargetMode="External"/><Relationship Id="rId29" Type="http://schemas.openxmlformats.org/officeDocument/2006/relationships/hyperlink" Target="https://worldpopulationreview.com/states/new-hampshire" TargetMode="External"/><Relationship Id="rId11" Type="http://schemas.openxmlformats.org/officeDocument/2006/relationships/hyperlink" Target="https://worldpopulationreview.com/states/hawaii" TargetMode="External"/><Relationship Id="rId24" Type="http://schemas.openxmlformats.org/officeDocument/2006/relationships/hyperlink" Target="https://worldpopulationreview.com/states/mississippi" TargetMode="External"/><Relationship Id="rId32" Type="http://schemas.openxmlformats.org/officeDocument/2006/relationships/hyperlink" Target="https://worldpopulationreview.com/states/new-york" TargetMode="External"/><Relationship Id="rId37" Type="http://schemas.openxmlformats.org/officeDocument/2006/relationships/hyperlink" Target="https://worldpopulationreview.com/states/oregon" TargetMode="External"/><Relationship Id="rId40" Type="http://schemas.openxmlformats.org/officeDocument/2006/relationships/hyperlink" Target="https://worldpopulationreview.com/states/south-carolina" TargetMode="External"/><Relationship Id="rId45" Type="http://schemas.openxmlformats.org/officeDocument/2006/relationships/hyperlink" Target="https://worldpopulationreview.com/states/vermont" TargetMode="External"/><Relationship Id="rId53" Type="http://schemas.openxmlformats.org/officeDocument/2006/relationships/vmlDrawing" Target="../drawings/vmlDrawing3.vml"/><Relationship Id="rId5" Type="http://schemas.openxmlformats.org/officeDocument/2006/relationships/hyperlink" Target="https://worldpopulationreview.com/states/california" TargetMode="External"/><Relationship Id="rId10" Type="http://schemas.openxmlformats.org/officeDocument/2006/relationships/hyperlink" Target="https://worldpopulationreview.com/states/georgia" TargetMode="External"/><Relationship Id="rId19" Type="http://schemas.openxmlformats.org/officeDocument/2006/relationships/hyperlink" Target="https://worldpopulationreview.com/states/maine" TargetMode="External"/><Relationship Id="rId31" Type="http://schemas.openxmlformats.org/officeDocument/2006/relationships/hyperlink" Target="https://worldpopulationreview.com/states/new-mexico" TargetMode="External"/><Relationship Id="rId44" Type="http://schemas.openxmlformats.org/officeDocument/2006/relationships/hyperlink" Target="https://worldpopulationreview.com/states/utah" TargetMode="External"/><Relationship Id="rId52" Type="http://schemas.openxmlformats.org/officeDocument/2006/relationships/drawing" Target="../drawings/drawing3.xml"/><Relationship Id="rId4" Type="http://schemas.openxmlformats.org/officeDocument/2006/relationships/hyperlink" Target="https://worldpopulationreview.com/states/arkansas" TargetMode="External"/><Relationship Id="rId9" Type="http://schemas.openxmlformats.org/officeDocument/2006/relationships/hyperlink" Target="https://worldpopulationreview.com/states/florida" TargetMode="External"/><Relationship Id="rId14" Type="http://schemas.openxmlformats.org/officeDocument/2006/relationships/hyperlink" Target="https://worldpopulationreview.com/states/indiana" TargetMode="External"/><Relationship Id="rId22" Type="http://schemas.openxmlformats.org/officeDocument/2006/relationships/hyperlink" Target="https://worldpopulationreview.com/states/michigan" TargetMode="External"/><Relationship Id="rId27" Type="http://schemas.openxmlformats.org/officeDocument/2006/relationships/hyperlink" Target="https://worldpopulationreview.com/states/nebraska" TargetMode="External"/><Relationship Id="rId30" Type="http://schemas.openxmlformats.org/officeDocument/2006/relationships/hyperlink" Target="https://worldpopulationreview.com/states/new-jersey" TargetMode="External"/><Relationship Id="rId35" Type="http://schemas.openxmlformats.org/officeDocument/2006/relationships/hyperlink" Target="https://worldpopulationreview.com/states/ohio" TargetMode="External"/><Relationship Id="rId43" Type="http://schemas.openxmlformats.org/officeDocument/2006/relationships/hyperlink" Target="https://worldpopulationreview.com/states/texas" TargetMode="External"/><Relationship Id="rId48" Type="http://schemas.openxmlformats.org/officeDocument/2006/relationships/hyperlink" Target="https://worldpopulationreview.com/states/west-virginia" TargetMode="External"/><Relationship Id="rId8" Type="http://schemas.openxmlformats.org/officeDocument/2006/relationships/hyperlink" Target="https://worldpopulationreview.com/states/delaware" TargetMode="External"/><Relationship Id="rId51" Type="http://schemas.openxmlformats.org/officeDocument/2006/relationships/printerSettings" Target="../printerSettings/printerSettings3.bin"/><Relationship Id="rId3" Type="http://schemas.openxmlformats.org/officeDocument/2006/relationships/hyperlink" Target="https://worldpopulationreview.com/states/arizona" TargetMode="External"/><Relationship Id="rId12" Type="http://schemas.openxmlformats.org/officeDocument/2006/relationships/hyperlink" Target="https://worldpopulationreview.com/states/idaho" TargetMode="External"/><Relationship Id="rId17" Type="http://schemas.openxmlformats.org/officeDocument/2006/relationships/hyperlink" Target="https://worldpopulationreview.com/states/kentucky" TargetMode="External"/><Relationship Id="rId25" Type="http://schemas.openxmlformats.org/officeDocument/2006/relationships/hyperlink" Target="https://worldpopulationreview.com/states/missouri" TargetMode="External"/><Relationship Id="rId33" Type="http://schemas.openxmlformats.org/officeDocument/2006/relationships/hyperlink" Target="https://worldpopulationreview.com/states/north-carolina" TargetMode="External"/><Relationship Id="rId38" Type="http://schemas.openxmlformats.org/officeDocument/2006/relationships/hyperlink" Target="https://worldpopulationreview.com/states/pennsylvania" TargetMode="External"/><Relationship Id="rId46" Type="http://schemas.openxmlformats.org/officeDocument/2006/relationships/hyperlink" Target="https://worldpopulationreview.com/states/virginia" TargetMode="External"/><Relationship Id="rId20" Type="http://schemas.openxmlformats.org/officeDocument/2006/relationships/hyperlink" Target="https://worldpopulationreview.com/states/maryland" TargetMode="External"/><Relationship Id="rId41" Type="http://schemas.openxmlformats.org/officeDocument/2006/relationships/hyperlink" Target="https://worldpopulationreview.com/states/south-dakota" TargetMode="External"/><Relationship Id="rId54" Type="http://schemas.openxmlformats.org/officeDocument/2006/relationships/ctrlProp" Target="../ctrlProps/ctrlProp3.xml"/><Relationship Id="rId1" Type="http://schemas.openxmlformats.org/officeDocument/2006/relationships/hyperlink" Target="https://worldpopulationreview.com/states/alabama" TargetMode="External"/><Relationship Id="rId6" Type="http://schemas.openxmlformats.org/officeDocument/2006/relationships/hyperlink" Target="https://worldpopulationreview.com/states/colorado" TargetMode="External"/><Relationship Id="rId15" Type="http://schemas.openxmlformats.org/officeDocument/2006/relationships/hyperlink" Target="https://worldpopulationreview.com/states/iowa" TargetMode="External"/><Relationship Id="rId23" Type="http://schemas.openxmlformats.org/officeDocument/2006/relationships/hyperlink" Target="https://worldpopulationreview.com/states/minnesota" TargetMode="External"/><Relationship Id="rId28" Type="http://schemas.openxmlformats.org/officeDocument/2006/relationships/hyperlink" Target="https://worldpopulationreview.com/states/nevada" TargetMode="External"/><Relationship Id="rId36" Type="http://schemas.openxmlformats.org/officeDocument/2006/relationships/hyperlink" Target="https://worldpopulationreview.com/states/oklahoma" TargetMode="External"/><Relationship Id="rId49" Type="http://schemas.openxmlformats.org/officeDocument/2006/relationships/hyperlink" Target="https://worldpopulationreview.com/states/wisconsin"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5.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26" Type="http://schemas.openxmlformats.org/officeDocument/2006/relationships/hyperlink" Target="https://www.univstats.com/states/montana" TargetMode="External"/><Relationship Id="rId21" Type="http://schemas.openxmlformats.org/officeDocument/2006/relationships/hyperlink" Target="https://www.univstats.com/states/maine" TargetMode="External"/><Relationship Id="rId42" Type="http://schemas.openxmlformats.org/officeDocument/2006/relationships/hyperlink" Target="https://www.univstats.com/states/tennessee" TargetMode="External"/><Relationship Id="rId47" Type="http://schemas.openxmlformats.org/officeDocument/2006/relationships/hyperlink" Target="https://www.univstats.com/states/washington" TargetMode="External"/><Relationship Id="rId63" Type="http://schemas.openxmlformats.org/officeDocument/2006/relationships/hyperlink" Target="https://www.univstats.com/states/pennsylvania" TargetMode="External"/><Relationship Id="rId68" Type="http://schemas.openxmlformats.org/officeDocument/2006/relationships/hyperlink" Target="https://www.univstats.com/states/nevada" TargetMode="External"/><Relationship Id="rId84" Type="http://schemas.openxmlformats.org/officeDocument/2006/relationships/hyperlink" Target="https://www.univstats.com/states/kentucky" TargetMode="External"/><Relationship Id="rId89" Type="http://schemas.openxmlformats.org/officeDocument/2006/relationships/hyperlink" Target="https://www.univstats.com/states/iowa" TargetMode="External"/><Relationship Id="rId16" Type="http://schemas.openxmlformats.org/officeDocument/2006/relationships/hyperlink" Target="https://www.univstats.com/states/kansas" TargetMode="External"/><Relationship Id="rId11" Type="http://schemas.openxmlformats.org/officeDocument/2006/relationships/hyperlink" Target="https://www.univstats.com/states/hawaii" TargetMode="External"/><Relationship Id="rId32" Type="http://schemas.openxmlformats.org/officeDocument/2006/relationships/hyperlink" Target="https://www.univstats.com/states/new-mexico" TargetMode="External"/><Relationship Id="rId37" Type="http://schemas.openxmlformats.org/officeDocument/2006/relationships/hyperlink" Target="https://www.univstats.com/states/oregon" TargetMode="External"/><Relationship Id="rId53" Type="http://schemas.openxmlformats.org/officeDocument/2006/relationships/hyperlink" Target="https://www.univstats.com/states/wisconsin" TargetMode="External"/><Relationship Id="rId58" Type="http://schemas.openxmlformats.org/officeDocument/2006/relationships/hyperlink" Target="https://www.univstats.com/states/texas" TargetMode="External"/><Relationship Id="rId74" Type="http://schemas.openxmlformats.org/officeDocument/2006/relationships/hyperlink" Target="https://www.univstats.com/states/north-carolina" TargetMode="External"/><Relationship Id="rId79" Type="http://schemas.openxmlformats.org/officeDocument/2006/relationships/hyperlink" Target="https://www.univstats.com/states/michigan" TargetMode="External"/><Relationship Id="rId102" Type="http://schemas.openxmlformats.org/officeDocument/2006/relationships/vmlDrawing" Target="../drawings/vmlDrawing6.vml"/><Relationship Id="rId5" Type="http://schemas.openxmlformats.org/officeDocument/2006/relationships/hyperlink" Target="https://www.univstats.com/states/california" TargetMode="External"/><Relationship Id="rId90" Type="http://schemas.openxmlformats.org/officeDocument/2006/relationships/hyperlink" Target="https://www.univstats.com/states/hawaii" TargetMode="External"/><Relationship Id="rId95" Type="http://schemas.openxmlformats.org/officeDocument/2006/relationships/hyperlink" Target="https://www.univstats.com/states/colorado" TargetMode="External"/><Relationship Id="rId22" Type="http://schemas.openxmlformats.org/officeDocument/2006/relationships/hyperlink" Target="https://www.univstats.com/states/michigan" TargetMode="External"/><Relationship Id="rId27" Type="http://schemas.openxmlformats.org/officeDocument/2006/relationships/hyperlink" Target="https://www.univstats.com/states/north-carolina" TargetMode="External"/><Relationship Id="rId43" Type="http://schemas.openxmlformats.org/officeDocument/2006/relationships/hyperlink" Target="https://www.univstats.com/states/texas" TargetMode="External"/><Relationship Id="rId48" Type="http://schemas.openxmlformats.org/officeDocument/2006/relationships/hyperlink" Target="https://www.univstats.com/states/wisconsin" TargetMode="External"/><Relationship Id="rId64" Type="http://schemas.openxmlformats.org/officeDocument/2006/relationships/hyperlink" Target="https://www.univstats.com/states/oregon" TargetMode="External"/><Relationship Id="rId69" Type="http://schemas.openxmlformats.org/officeDocument/2006/relationships/hyperlink" Target="https://www.univstats.com/states/new-mexico" TargetMode="External"/><Relationship Id="rId80" Type="http://schemas.openxmlformats.org/officeDocument/2006/relationships/hyperlink" Target="https://www.univstats.com/states/maine" TargetMode="External"/><Relationship Id="rId85" Type="http://schemas.openxmlformats.org/officeDocument/2006/relationships/hyperlink" Target="https://www.univstats.com/states/kansas" TargetMode="External"/><Relationship Id="rId12" Type="http://schemas.openxmlformats.org/officeDocument/2006/relationships/hyperlink" Target="https://www.univstats.com/states/iowa" TargetMode="External"/><Relationship Id="rId17" Type="http://schemas.openxmlformats.org/officeDocument/2006/relationships/hyperlink" Target="https://www.univstats.com/states/kentucky" TargetMode="External"/><Relationship Id="rId25" Type="http://schemas.openxmlformats.org/officeDocument/2006/relationships/hyperlink" Target="https://www.univstats.com/states/mississippi" TargetMode="External"/><Relationship Id="rId33" Type="http://schemas.openxmlformats.org/officeDocument/2006/relationships/hyperlink" Target="https://www.univstats.com/states/nevada" TargetMode="External"/><Relationship Id="rId38" Type="http://schemas.openxmlformats.org/officeDocument/2006/relationships/hyperlink" Target="https://www.univstats.com/states/pennsylvania" TargetMode="External"/><Relationship Id="rId46" Type="http://schemas.openxmlformats.org/officeDocument/2006/relationships/hyperlink" Target="https://www.univstats.com/states/vermont" TargetMode="External"/><Relationship Id="rId59" Type="http://schemas.openxmlformats.org/officeDocument/2006/relationships/hyperlink" Target="https://www.univstats.com/states/tennessee" TargetMode="External"/><Relationship Id="rId67" Type="http://schemas.openxmlformats.org/officeDocument/2006/relationships/hyperlink" Target="https://www.univstats.com/states/new-york" TargetMode="External"/><Relationship Id="rId103" Type="http://schemas.openxmlformats.org/officeDocument/2006/relationships/ctrlProp" Target="../ctrlProps/ctrlProp6.xml"/><Relationship Id="rId20" Type="http://schemas.openxmlformats.org/officeDocument/2006/relationships/hyperlink" Target="https://www.univstats.com/states/maryland" TargetMode="External"/><Relationship Id="rId41" Type="http://schemas.openxmlformats.org/officeDocument/2006/relationships/hyperlink" Target="https://www.univstats.com/states/south-dakota" TargetMode="External"/><Relationship Id="rId54" Type="http://schemas.openxmlformats.org/officeDocument/2006/relationships/hyperlink" Target="https://www.univstats.com/states/washington" TargetMode="External"/><Relationship Id="rId62" Type="http://schemas.openxmlformats.org/officeDocument/2006/relationships/hyperlink" Target="https://www.univstats.com/states/rhode-island" TargetMode="External"/><Relationship Id="rId70" Type="http://schemas.openxmlformats.org/officeDocument/2006/relationships/hyperlink" Target="https://www.univstats.com/states/new-jersey" TargetMode="External"/><Relationship Id="rId75" Type="http://schemas.openxmlformats.org/officeDocument/2006/relationships/hyperlink" Target="https://www.univstats.com/states/montana" TargetMode="External"/><Relationship Id="rId83" Type="http://schemas.openxmlformats.org/officeDocument/2006/relationships/hyperlink" Target="https://www.univstats.com/states/louisiana" TargetMode="External"/><Relationship Id="rId88" Type="http://schemas.openxmlformats.org/officeDocument/2006/relationships/hyperlink" Target="https://www.univstats.com/states/idaho" TargetMode="External"/><Relationship Id="rId91" Type="http://schemas.openxmlformats.org/officeDocument/2006/relationships/hyperlink" Target="https://www.univstats.com/states/georgia" TargetMode="External"/><Relationship Id="rId96" Type="http://schemas.openxmlformats.org/officeDocument/2006/relationships/hyperlink" Target="https://www.univstats.com/states/california" TargetMode="External"/><Relationship Id="rId1" Type="http://schemas.openxmlformats.org/officeDocument/2006/relationships/hyperlink" Target="https://www.univstats.com/states/alaska" TargetMode="External"/><Relationship Id="rId6" Type="http://schemas.openxmlformats.org/officeDocument/2006/relationships/hyperlink" Target="https://www.univstats.com/states/colorado" TargetMode="External"/><Relationship Id="rId15" Type="http://schemas.openxmlformats.org/officeDocument/2006/relationships/hyperlink" Target="https://www.univstats.com/states/indiana" TargetMode="External"/><Relationship Id="rId23" Type="http://schemas.openxmlformats.org/officeDocument/2006/relationships/hyperlink" Target="https://www.univstats.com/states/minnesota" TargetMode="External"/><Relationship Id="rId28" Type="http://schemas.openxmlformats.org/officeDocument/2006/relationships/hyperlink" Target="https://www.univstats.com/states/north-dakota" TargetMode="External"/><Relationship Id="rId36" Type="http://schemas.openxmlformats.org/officeDocument/2006/relationships/hyperlink" Target="https://www.univstats.com/states/oklahoma" TargetMode="External"/><Relationship Id="rId49" Type="http://schemas.openxmlformats.org/officeDocument/2006/relationships/hyperlink" Target="https://www.univstats.com/states/west-virginia" TargetMode="External"/><Relationship Id="rId57" Type="http://schemas.openxmlformats.org/officeDocument/2006/relationships/hyperlink" Target="https://www.univstats.com/states/utah" TargetMode="External"/><Relationship Id="rId10" Type="http://schemas.openxmlformats.org/officeDocument/2006/relationships/hyperlink" Target="https://www.univstats.com/states/georgia" TargetMode="External"/><Relationship Id="rId31" Type="http://schemas.openxmlformats.org/officeDocument/2006/relationships/hyperlink" Target="https://www.univstats.com/states/new-jersey" TargetMode="External"/><Relationship Id="rId44" Type="http://schemas.openxmlformats.org/officeDocument/2006/relationships/hyperlink" Target="https://www.univstats.com/states/utah" TargetMode="External"/><Relationship Id="rId52" Type="http://schemas.openxmlformats.org/officeDocument/2006/relationships/hyperlink" Target="https://www.univstats.com/states/west-virginia" TargetMode="External"/><Relationship Id="rId60" Type="http://schemas.openxmlformats.org/officeDocument/2006/relationships/hyperlink" Target="https://www.univstats.com/states/south-dakota" TargetMode="External"/><Relationship Id="rId65" Type="http://schemas.openxmlformats.org/officeDocument/2006/relationships/hyperlink" Target="https://www.univstats.com/states/oklahoma" TargetMode="External"/><Relationship Id="rId73" Type="http://schemas.openxmlformats.org/officeDocument/2006/relationships/hyperlink" Target="https://www.univstats.com/states/north-dakota" TargetMode="External"/><Relationship Id="rId78" Type="http://schemas.openxmlformats.org/officeDocument/2006/relationships/hyperlink" Target="https://www.univstats.com/states/minnesota" TargetMode="External"/><Relationship Id="rId81" Type="http://schemas.openxmlformats.org/officeDocument/2006/relationships/hyperlink" Target="https://www.univstats.com/states/maryland" TargetMode="External"/><Relationship Id="rId86" Type="http://schemas.openxmlformats.org/officeDocument/2006/relationships/hyperlink" Target="https://www.univstats.com/states/indiana" TargetMode="External"/><Relationship Id="rId94" Type="http://schemas.openxmlformats.org/officeDocument/2006/relationships/hyperlink" Target="https://www.univstats.com/states/connecticut" TargetMode="External"/><Relationship Id="rId99" Type="http://schemas.openxmlformats.org/officeDocument/2006/relationships/hyperlink" Target="https://www.univstats.com/states/alabama" TargetMode="External"/><Relationship Id="rId101" Type="http://schemas.openxmlformats.org/officeDocument/2006/relationships/drawing" Target="../drawings/drawing6.xml"/><Relationship Id="rId4" Type="http://schemas.openxmlformats.org/officeDocument/2006/relationships/hyperlink" Target="https://www.univstats.com/states/arizona" TargetMode="External"/><Relationship Id="rId9" Type="http://schemas.openxmlformats.org/officeDocument/2006/relationships/hyperlink" Target="https://www.univstats.com/states/florida" TargetMode="External"/><Relationship Id="rId13" Type="http://schemas.openxmlformats.org/officeDocument/2006/relationships/hyperlink" Target="https://www.univstats.com/states/idaho" TargetMode="External"/><Relationship Id="rId18" Type="http://schemas.openxmlformats.org/officeDocument/2006/relationships/hyperlink" Target="https://www.univstats.com/states/louisiana" TargetMode="External"/><Relationship Id="rId39" Type="http://schemas.openxmlformats.org/officeDocument/2006/relationships/hyperlink" Target="https://www.univstats.com/states/rhode-island" TargetMode="External"/><Relationship Id="rId34" Type="http://schemas.openxmlformats.org/officeDocument/2006/relationships/hyperlink" Target="https://www.univstats.com/states/new-york" TargetMode="External"/><Relationship Id="rId50" Type="http://schemas.openxmlformats.org/officeDocument/2006/relationships/hyperlink" Target="https://www.univstats.com/states/wyoming" TargetMode="External"/><Relationship Id="rId55" Type="http://schemas.openxmlformats.org/officeDocument/2006/relationships/hyperlink" Target="https://www.univstats.com/states/vermont" TargetMode="External"/><Relationship Id="rId76" Type="http://schemas.openxmlformats.org/officeDocument/2006/relationships/hyperlink" Target="https://www.univstats.com/states/mississippi" TargetMode="External"/><Relationship Id="rId97" Type="http://schemas.openxmlformats.org/officeDocument/2006/relationships/hyperlink" Target="https://www.univstats.com/states/arizona" TargetMode="External"/><Relationship Id="rId104" Type="http://schemas.openxmlformats.org/officeDocument/2006/relationships/table" Target="../tables/table7.xml"/><Relationship Id="rId7" Type="http://schemas.openxmlformats.org/officeDocument/2006/relationships/hyperlink" Target="https://www.univstats.com/states/connecticut" TargetMode="External"/><Relationship Id="rId71" Type="http://schemas.openxmlformats.org/officeDocument/2006/relationships/hyperlink" Target="https://www.univstats.com/states/new-hampshire" TargetMode="External"/><Relationship Id="rId92" Type="http://schemas.openxmlformats.org/officeDocument/2006/relationships/hyperlink" Target="https://www.univstats.com/states/florida" TargetMode="External"/><Relationship Id="rId2" Type="http://schemas.openxmlformats.org/officeDocument/2006/relationships/hyperlink" Target="https://www.univstats.com/states/alabama" TargetMode="External"/><Relationship Id="rId29" Type="http://schemas.openxmlformats.org/officeDocument/2006/relationships/hyperlink" Target="https://www.univstats.com/states/nebraska" TargetMode="External"/><Relationship Id="rId24" Type="http://schemas.openxmlformats.org/officeDocument/2006/relationships/hyperlink" Target="https://www.univstats.com/states/missouri" TargetMode="External"/><Relationship Id="rId40" Type="http://schemas.openxmlformats.org/officeDocument/2006/relationships/hyperlink" Target="https://www.univstats.com/states/south-carolina" TargetMode="External"/><Relationship Id="rId45" Type="http://schemas.openxmlformats.org/officeDocument/2006/relationships/hyperlink" Target="https://www.univstats.com/states/virginia" TargetMode="External"/><Relationship Id="rId66" Type="http://schemas.openxmlformats.org/officeDocument/2006/relationships/hyperlink" Target="https://www.univstats.com/states/ohio" TargetMode="External"/><Relationship Id="rId87" Type="http://schemas.openxmlformats.org/officeDocument/2006/relationships/hyperlink" Target="https://www.univstats.com/states/illinois" TargetMode="External"/><Relationship Id="rId61" Type="http://schemas.openxmlformats.org/officeDocument/2006/relationships/hyperlink" Target="https://www.univstats.com/states/south-carolina" TargetMode="External"/><Relationship Id="rId82" Type="http://schemas.openxmlformats.org/officeDocument/2006/relationships/hyperlink" Target="https://www.univstats.com/states/massachusetts" TargetMode="External"/><Relationship Id="rId19" Type="http://schemas.openxmlformats.org/officeDocument/2006/relationships/hyperlink" Target="https://www.univstats.com/states/massachusetts" TargetMode="External"/><Relationship Id="rId14" Type="http://schemas.openxmlformats.org/officeDocument/2006/relationships/hyperlink" Target="https://www.univstats.com/states/illinois" TargetMode="External"/><Relationship Id="rId30" Type="http://schemas.openxmlformats.org/officeDocument/2006/relationships/hyperlink" Target="https://www.univstats.com/states/new-hampshire" TargetMode="External"/><Relationship Id="rId35" Type="http://schemas.openxmlformats.org/officeDocument/2006/relationships/hyperlink" Target="https://www.univstats.com/states/ohio" TargetMode="External"/><Relationship Id="rId56" Type="http://schemas.openxmlformats.org/officeDocument/2006/relationships/hyperlink" Target="https://www.univstats.com/states/virginia" TargetMode="External"/><Relationship Id="rId77" Type="http://schemas.openxmlformats.org/officeDocument/2006/relationships/hyperlink" Target="https://www.univstats.com/states/missouri" TargetMode="External"/><Relationship Id="rId100" Type="http://schemas.openxmlformats.org/officeDocument/2006/relationships/hyperlink" Target="https://www.univstats.com/states/alaska" TargetMode="External"/><Relationship Id="rId8" Type="http://schemas.openxmlformats.org/officeDocument/2006/relationships/hyperlink" Target="https://www.univstats.com/states/delaware" TargetMode="External"/><Relationship Id="rId51" Type="http://schemas.openxmlformats.org/officeDocument/2006/relationships/hyperlink" Target="https://www.univstats.com/states/wyoming" TargetMode="External"/><Relationship Id="rId72" Type="http://schemas.openxmlformats.org/officeDocument/2006/relationships/hyperlink" Target="https://www.univstats.com/states/nebraska" TargetMode="External"/><Relationship Id="rId93" Type="http://schemas.openxmlformats.org/officeDocument/2006/relationships/hyperlink" Target="https://www.univstats.com/states/delaware" TargetMode="External"/><Relationship Id="rId98" Type="http://schemas.openxmlformats.org/officeDocument/2006/relationships/hyperlink" Target="https://www.univstats.com/states/arkansas" TargetMode="External"/><Relationship Id="rId3" Type="http://schemas.openxmlformats.org/officeDocument/2006/relationships/hyperlink" Target="https://www.univstats.com/states/arkansas" TargetMode="Externa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3" Type="http://schemas.openxmlformats.org/officeDocument/2006/relationships/hyperlink" Target="https://worldpopulationreview.com/state-rankings/crime-rate-by-state" TargetMode="External"/><Relationship Id="rId2" Type="http://schemas.openxmlformats.org/officeDocument/2006/relationships/hyperlink" Target="https://www.kff.org/other/state-indicator/health-care-expenditures-by-state-of-residence-in-millions/?currentTimeframe=0&amp;sortModel=%7B%22colId%22:%22Location%22,%22sort%22:%22asc%22%7D" TargetMode="External"/><Relationship Id="rId1" Type="http://schemas.openxmlformats.org/officeDocument/2006/relationships/hyperlink" Target="https://www.univstats.com/states/" TargetMode="External"/><Relationship Id="rId6" Type="http://schemas.openxmlformats.org/officeDocument/2006/relationships/table" Target="../tables/table9.xml"/><Relationship Id="rId5" Type="http://schemas.openxmlformats.org/officeDocument/2006/relationships/hyperlink" Target="https://www.ers.usda.gov/data-products/county-level-data-sets/county-level-data-sets-download-data/" TargetMode="External"/><Relationship Id="rId4" Type="http://schemas.openxmlformats.org/officeDocument/2006/relationships/hyperlink" Target="https://worldpopulationreview.com/state-rankings/average-temperatures-by-state" TargetMode="External"/></Relationships>
</file>

<file path=xl/worksheets/_rels/sheet13.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table" Target="../tables/table10.xml"/><Relationship Id="rId5" Type="http://schemas.openxmlformats.org/officeDocument/2006/relationships/table" Target="../tables/table14.xml"/><Relationship Id="rId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F099D-5B9B-4C4D-A5D2-AC85EF233DD7}">
  <sheetPr codeName="Sheet1"/>
  <dimension ref="A2:D8"/>
  <sheetViews>
    <sheetView tabSelected="1" zoomScale="140" zoomScaleNormal="140" workbookViewId="0">
      <selection activeCell="A12" sqref="A12"/>
    </sheetView>
  </sheetViews>
  <sheetFormatPr defaultColWidth="8.85546875" defaultRowHeight="15" x14ac:dyDescent="0.25"/>
  <cols>
    <col min="1" max="1" width="36.42578125" bestFit="1" customWidth="1"/>
    <col min="4" max="4" width="11.7109375" customWidth="1"/>
  </cols>
  <sheetData>
    <row r="2" spans="1:4" ht="24" thickBot="1" x14ac:dyDescent="0.4">
      <c r="A2" s="68" t="s">
        <v>342</v>
      </c>
      <c r="B2" s="68"/>
      <c r="C2" s="68"/>
      <c r="D2" s="68"/>
    </row>
    <row r="3" spans="1:4" ht="24.75" thickTop="1" thickBot="1" x14ac:dyDescent="0.4">
      <c r="A3" s="62" t="s">
        <v>0</v>
      </c>
      <c r="B3" s="63"/>
      <c r="C3" s="64"/>
      <c r="D3" s="65"/>
    </row>
    <row r="4" spans="1:4" ht="15.75" thickTop="1" x14ac:dyDescent="0.25">
      <c r="A4" s="56" t="s">
        <v>1</v>
      </c>
      <c r="B4" s="57"/>
      <c r="C4" s="57"/>
      <c r="D4" s="58"/>
    </row>
    <row r="5" spans="1:4" x14ac:dyDescent="0.25">
      <c r="A5" s="69" t="s">
        <v>2</v>
      </c>
      <c r="B5" s="70"/>
      <c r="C5" s="70"/>
      <c r="D5" s="71"/>
    </row>
    <row r="6" spans="1:4" x14ac:dyDescent="0.25">
      <c r="A6" s="69" t="s">
        <v>3</v>
      </c>
      <c r="B6" s="70"/>
      <c r="C6" s="70"/>
      <c r="D6" s="71"/>
    </row>
    <row r="7" spans="1:4" x14ac:dyDescent="0.25">
      <c r="A7" s="69" t="s">
        <v>4</v>
      </c>
      <c r="B7" s="70"/>
      <c r="C7" s="70"/>
      <c r="D7" s="71"/>
    </row>
    <row r="8" spans="1:4" x14ac:dyDescent="0.25">
      <c r="A8" s="59" t="s">
        <v>5</v>
      </c>
      <c r="B8" s="60"/>
      <c r="C8" s="60"/>
      <c r="D8" s="61"/>
    </row>
  </sheetData>
  <mergeCells count="4">
    <mergeCell ref="A2:D2"/>
    <mergeCell ref="A5:D5"/>
    <mergeCell ref="A6:D6"/>
    <mergeCell ref="A7:D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829B6-D268-45D2-A5FF-AEEAD93F64BF}">
  <sheetPr codeName="Sheet2"/>
  <dimension ref="A1:B52"/>
  <sheetViews>
    <sheetView workbookViewId="0">
      <selection activeCell="L28" sqref="L28"/>
    </sheetView>
  </sheetViews>
  <sheetFormatPr defaultColWidth="8.85546875" defaultRowHeight="15" x14ac:dyDescent="0.25"/>
  <cols>
    <col min="1" max="1" width="15" bestFit="1" customWidth="1"/>
    <col min="2" max="2" width="14" bestFit="1" customWidth="1"/>
  </cols>
  <sheetData>
    <row r="1" spans="1:2" ht="15.75" x14ac:dyDescent="0.25">
      <c r="A1" s="2" t="s">
        <v>6</v>
      </c>
      <c r="B1" s="2" t="s">
        <v>7</v>
      </c>
    </row>
    <row r="2" spans="1:2" ht="15.75" x14ac:dyDescent="0.25">
      <c r="A2" s="2" t="s">
        <v>8</v>
      </c>
      <c r="B2" s="2" t="s">
        <v>9</v>
      </c>
    </row>
    <row r="3" spans="1:2" ht="15.75" x14ac:dyDescent="0.25">
      <c r="A3" s="2" t="s">
        <v>10</v>
      </c>
      <c r="B3" s="2" t="s">
        <v>11</v>
      </c>
    </row>
    <row r="4" spans="1:2" ht="15.75" x14ac:dyDescent="0.25">
      <c r="A4" s="2" t="s">
        <v>12</v>
      </c>
      <c r="B4" s="2" t="s">
        <v>13</v>
      </c>
    </row>
    <row r="5" spans="1:2" ht="15.75" x14ac:dyDescent="0.25">
      <c r="A5" s="2" t="s">
        <v>14</v>
      </c>
      <c r="B5" s="2" t="s">
        <v>15</v>
      </c>
    </row>
    <row r="6" spans="1:2" ht="15.75" x14ac:dyDescent="0.25">
      <c r="A6" s="2" t="s">
        <v>16</v>
      </c>
      <c r="B6" s="2" t="s">
        <v>17</v>
      </c>
    </row>
    <row r="7" spans="1:2" ht="15.75" x14ac:dyDescent="0.25">
      <c r="A7" s="2" t="s">
        <v>18</v>
      </c>
      <c r="B7" s="2" t="s">
        <v>19</v>
      </c>
    </row>
    <row r="8" spans="1:2" ht="15.75" x14ac:dyDescent="0.25">
      <c r="A8" s="2" t="s">
        <v>20</v>
      </c>
      <c r="B8" s="2" t="s">
        <v>21</v>
      </c>
    </row>
    <row r="9" spans="1:2" ht="15.75" x14ac:dyDescent="0.25">
      <c r="A9" s="2" t="s">
        <v>22</v>
      </c>
      <c r="B9" s="2" t="s">
        <v>23</v>
      </c>
    </row>
    <row r="10" spans="1:2" ht="15.75" x14ac:dyDescent="0.25">
      <c r="A10" s="2" t="s">
        <v>24</v>
      </c>
      <c r="B10" s="2" t="s">
        <v>25</v>
      </c>
    </row>
    <row r="11" spans="1:2" ht="15.75" x14ac:dyDescent="0.25">
      <c r="A11" s="2" t="s">
        <v>26</v>
      </c>
      <c r="B11" s="2" t="s">
        <v>27</v>
      </c>
    </row>
    <row r="12" spans="1:2" ht="15.75" x14ac:dyDescent="0.25">
      <c r="A12" s="2" t="s">
        <v>28</v>
      </c>
      <c r="B12" s="2" t="s">
        <v>29</v>
      </c>
    </row>
    <row r="13" spans="1:2" ht="15.75" x14ac:dyDescent="0.25">
      <c r="A13" s="2" t="s">
        <v>30</v>
      </c>
      <c r="B13" s="2" t="s">
        <v>31</v>
      </c>
    </row>
    <row r="14" spans="1:2" ht="15.75" x14ac:dyDescent="0.25">
      <c r="A14" s="2" t="s">
        <v>32</v>
      </c>
      <c r="B14" s="2" t="s">
        <v>33</v>
      </c>
    </row>
    <row r="15" spans="1:2" ht="15.75" x14ac:dyDescent="0.25">
      <c r="A15" s="2" t="s">
        <v>34</v>
      </c>
      <c r="B15" s="2" t="s">
        <v>35</v>
      </c>
    </row>
    <row r="16" spans="1:2" ht="15.75" x14ac:dyDescent="0.25">
      <c r="A16" s="2" t="s">
        <v>36</v>
      </c>
      <c r="B16" s="2" t="s">
        <v>37</v>
      </c>
    </row>
    <row r="17" spans="1:2" ht="15.75" x14ac:dyDescent="0.25">
      <c r="A17" s="2" t="s">
        <v>38</v>
      </c>
      <c r="B17" s="2" t="s">
        <v>39</v>
      </c>
    </row>
    <row r="18" spans="1:2" ht="15.75" x14ac:dyDescent="0.25">
      <c r="A18" s="2" t="s">
        <v>40</v>
      </c>
      <c r="B18" s="2" t="s">
        <v>41</v>
      </c>
    </row>
    <row r="19" spans="1:2" ht="15.75" x14ac:dyDescent="0.25">
      <c r="A19" s="2" t="s">
        <v>42</v>
      </c>
      <c r="B19" s="2" t="s">
        <v>43</v>
      </c>
    </row>
    <row r="20" spans="1:2" ht="15.75" x14ac:dyDescent="0.25">
      <c r="A20" s="2" t="s">
        <v>44</v>
      </c>
      <c r="B20" s="2" t="s">
        <v>45</v>
      </c>
    </row>
    <row r="21" spans="1:2" ht="15.75" x14ac:dyDescent="0.25">
      <c r="A21" s="2" t="s">
        <v>46</v>
      </c>
      <c r="B21" s="2" t="s">
        <v>47</v>
      </c>
    </row>
    <row r="22" spans="1:2" ht="15.75" x14ac:dyDescent="0.25">
      <c r="A22" s="2" t="s">
        <v>48</v>
      </c>
      <c r="B22" s="2" t="s">
        <v>49</v>
      </c>
    </row>
    <row r="23" spans="1:2" ht="15.75" x14ac:dyDescent="0.25">
      <c r="A23" s="2" t="s">
        <v>50</v>
      </c>
      <c r="B23" s="2" t="s">
        <v>51</v>
      </c>
    </row>
    <row r="24" spans="1:2" ht="15.75" x14ac:dyDescent="0.25">
      <c r="A24" s="2" t="s">
        <v>52</v>
      </c>
      <c r="B24" s="2" t="s">
        <v>53</v>
      </c>
    </row>
    <row r="25" spans="1:2" ht="15.75" x14ac:dyDescent="0.25">
      <c r="A25" s="2" t="s">
        <v>54</v>
      </c>
      <c r="B25" s="2" t="s">
        <v>55</v>
      </c>
    </row>
    <row r="26" spans="1:2" ht="15.75" x14ac:dyDescent="0.25">
      <c r="A26" s="2" t="s">
        <v>56</v>
      </c>
      <c r="B26" s="2" t="s">
        <v>57</v>
      </c>
    </row>
    <row r="27" spans="1:2" ht="15.75" x14ac:dyDescent="0.25">
      <c r="A27" s="2" t="s">
        <v>58</v>
      </c>
      <c r="B27" s="2" t="s">
        <v>59</v>
      </c>
    </row>
    <row r="28" spans="1:2" ht="15.75" x14ac:dyDescent="0.25">
      <c r="A28" s="2" t="s">
        <v>60</v>
      </c>
      <c r="B28" s="2" t="s">
        <v>61</v>
      </c>
    </row>
    <row r="29" spans="1:2" ht="15.75" x14ac:dyDescent="0.25">
      <c r="A29" s="2" t="s">
        <v>62</v>
      </c>
      <c r="B29" s="2" t="s">
        <v>63</v>
      </c>
    </row>
    <row r="30" spans="1:2" ht="15.75" x14ac:dyDescent="0.25">
      <c r="A30" s="2" t="s">
        <v>64</v>
      </c>
      <c r="B30" s="2" t="s">
        <v>65</v>
      </c>
    </row>
    <row r="31" spans="1:2" ht="15.75" x14ac:dyDescent="0.25">
      <c r="A31" s="2" t="s">
        <v>66</v>
      </c>
      <c r="B31" s="2" t="s">
        <v>67</v>
      </c>
    </row>
    <row r="32" spans="1:2" ht="15.75" x14ac:dyDescent="0.25">
      <c r="A32" s="2" t="s">
        <v>68</v>
      </c>
      <c r="B32" s="2" t="s">
        <v>69</v>
      </c>
    </row>
    <row r="33" spans="1:2" ht="15.75" x14ac:dyDescent="0.25">
      <c r="A33" s="2" t="s">
        <v>70</v>
      </c>
      <c r="B33" s="2" t="s">
        <v>71</v>
      </c>
    </row>
    <row r="34" spans="1:2" ht="15.75" x14ac:dyDescent="0.25">
      <c r="A34" s="2" t="s">
        <v>72</v>
      </c>
      <c r="B34" s="2" t="s">
        <v>73</v>
      </c>
    </row>
    <row r="35" spans="1:2" ht="15.75" x14ac:dyDescent="0.25">
      <c r="A35" s="2" t="s">
        <v>74</v>
      </c>
      <c r="B35" s="2" t="s">
        <v>75</v>
      </c>
    </row>
    <row r="36" spans="1:2" ht="15.75" x14ac:dyDescent="0.25">
      <c r="A36" s="2" t="s">
        <v>76</v>
      </c>
      <c r="B36" s="2" t="s">
        <v>77</v>
      </c>
    </row>
    <row r="37" spans="1:2" ht="15.75" x14ac:dyDescent="0.25">
      <c r="A37" s="2" t="s">
        <v>78</v>
      </c>
      <c r="B37" s="2" t="s">
        <v>79</v>
      </c>
    </row>
    <row r="38" spans="1:2" ht="15.75" x14ac:dyDescent="0.25">
      <c r="A38" s="2" t="s">
        <v>80</v>
      </c>
      <c r="B38" s="2" t="s">
        <v>81</v>
      </c>
    </row>
    <row r="39" spans="1:2" ht="15.75" x14ac:dyDescent="0.25">
      <c r="A39" s="2" t="s">
        <v>82</v>
      </c>
      <c r="B39" s="2" t="s">
        <v>83</v>
      </c>
    </row>
    <row r="40" spans="1:2" ht="15.75" x14ac:dyDescent="0.25">
      <c r="A40" s="2" t="s">
        <v>84</v>
      </c>
      <c r="B40" s="2" t="s">
        <v>85</v>
      </c>
    </row>
    <row r="41" spans="1:2" ht="15.75" x14ac:dyDescent="0.25">
      <c r="A41" s="2" t="s">
        <v>86</v>
      </c>
      <c r="B41" s="2" t="s">
        <v>87</v>
      </c>
    </row>
    <row r="42" spans="1:2" ht="15.75" x14ac:dyDescent="0.25">
      <c r="A42" s="2" t="s">
        <v>88</v>
      </c>
      <c r="B42" s="2" t="s">
        <v>89</v>
      </c>
    </row>
    <row r="43" spans="1:2" ht="15.75" x14ac:dyDescent="0.25">
      <c r="A43" s="2" t="s">
        <v>90</v>
      </c>
      <c r="B43" s="2" t="s">
        <v>91</v>
      </c>
    </row>
    <row r="44" spans="1:2" ht="15.75" x14ac:dyDescent="0.25">
      <c r="A44" s="2" t="s">
        <v>92</v>
      </c>
      <c r="B44" s="2" t="s">
        <v>93</v>
      </c>
    </row>
    <row r="45" spans="1:2" ht="15.75" x14ac:dyDescent="0.25">
      <c r="A45" s="2" t="s">
        <v>94</v>
      </c>
      <c r="B45" s="2" t="s">
        <v>95</v>
      </c>
    </row>
    <row r="46" spans="1:2" ht="15.75" x14ac:dyDescent="0.25">
      <c r="A46" s="2" t="s">
        <v>96</v>
      </c>
      <c r="B46" s="2" t="s">
        <v>97</v>
      </c>
    </row>
    <row r="47" spans="1:2" ht="15.75" x14ac:dyDescent="0.25">
      <c r="A47" s="2" t="s">
        <v>98</v>
      </c>
      <c r="B47" s="2" t="s">
        <v>99</v>
      </c>
    </row>
    <row r="48" spans="1:2" ht="15.75" x14ac:dyDescent="0.25">
      <c r="A48" s="2" t="s">
        <v>100</v>
      </c>
      <c r="B48" s="2" t="s">
        <v>101</v>
      </c>
    </row>
    <row r="49" spans="1:2" ht="15.75" x14ac:dyDescent="0.25">
      <c r="A49" s="2" t="s">
        <v>102</v>
      </c>
      <c r="B49" s="2" t="s">
        <v>103</v>
      </c>
    </row>
    <row r="50" spans="1:2" ht="15.75" x14ac:dyDescent="0.25">
      <c r="A50" s="2" t="s">
        <v>104</v>
      </c>
      <c r="B50" s="2" t="s">
        <v>105</v>
      </c>
    </row>
    <row r="51" spans="1:2" ht="15.75" x14ac:dyDescent="0.25">
      <c r="A51" s="2" t="s">
        <v>106</v>
      </c>
      <c r="B51" s="2" t="s">
        <v>107</v>
      </c>
    </row>
    <row r="52" spans="1:2" ht="15.75" x14ac:dyDescent="0.25">
      <c r="A52" s="2" t="s">
        <v>108</v>
      </c>
      <c r="B52" s="2" t="s">
        <v>109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A7167-5B27-4745-B353-A1FA6B069903}">
  <sheetPr codeName="Sheet3">
    <tabColor theme="9"/>
    <pageSetUpPr autoPageBreaks="0"/>
  </sheetPr>
  <dimension ref="A1:V51"/>
  <sheetViews>
    <sheetView zoomScale="70" zoomScaleNormal="70" workbookViewId="0"/>
  </sheetViews>
  <sheetFormatPr defaultColWidth="8.85546875" defaultRowHeight="15" x14ac:dyDescent="0.25"/>
  <cols>
    <col min="1" max="1" width="15.42578125" bestFit="1" customWidth="1"/>
    <col min="2" max="2" width="17.140625" bestFit="1" customWidth="1"/>
    <col min="3" max="3" width="51.5703125" bestFit="1" customWidth="1"/>
    <col min="4" max="4" width="24.28515625" bestFit="1" customWidth="1"/>
    <col min="5" max="5" width="16.5703125" bestFit="1" customWidth="1"/>
    <col min="6" max="6" width="43.42578125" bestFit="1" customWidth="1"/>
    <col min="7" max="7" width="26.5703125" bestFit="1" customWidth="1"/>
    <col min="8" max="8" width="23.5703125" bestFit="1" customWidth="1"/>
    <col min="9" max="9" width="32.85546875" bestFit="1" customWidth="1"/>
    <col min="11" max="11" width="8.85546875" customWidth="1"/>
    <col min="17" max="17" width="8.85546875" customWidth="1"/>
  </cols>
  <sheetData>
    <row r="1" spans="1:22" s="5" customFormat="1" ht="18.75" x14ac:dyDescent="0.3">
      <c r="A1" s="51" t="s">
        <v>7</v>
      </c>
      <c r="B1" s="51" t="s">
        <v>110</v>
      </c>
      <c r="C1" s="51" t="s">
        <v>111</v>
      </c>
      <c r="D1" s="51" t="s">
        <v>112</v>
      </c>
      <c r="E1" s="51" t="s">
        <v>113</v>
      </c>
      <c r="F1" s="51" t="s">
        <v>114</v>
      </c>
      <c r="G1" s="51" t="s">
        <v>115</v>
      </c>
      <c r="H1" s="51" t="s">
        <v>116</v>
      </c>
      <c r="I1" s="51" t="s">
        <v>117</v>
      </c>
    </row>
    <row r="2" spans="1:22" ht="18.75" x14ac:dyDescent="0.3">
      <c r="A2" s="52" t="s">
        <v>13</v>
      </c>
      <c r="B2" s="49" t="s">
        <v>10</v>
      </c>
      <c r="C2" s="53" t="s">
        <v>118</v>
      </c>
      <c r="D2" s="54">
        <v>0.76370000000000005</v>
      </c>
      <c r="E2" s="55">
        <v>1045</v>
      </c>
      <c r="F2" s="53" t="s">
        <v>119</v>
      </c>
      <c r="G2" s="55">
        <v>22269</v>
      </c>
      <c r="H2" s="54">
        <v>0.44779999999999998</v>
      </c>
      <c r="I2" s="53" t="s">
        <v>120</v>
      </c>
    </row>
    <row r="3" spans="1:22" ht="18.75" x14ac:dyDescent="0.3">
      <c r="A3" s="52" t="s">
        <v>11</v>
      </c>
      <c r="B3" s="49" t="s">
        <v>12</v>
      </c>
      <c r="C3" s="53" t="s">
        <v>121</v>
      </c>
      <c r="D3" s="54">
        <v>0.72599999999999998</v>
      </c>
      <c r="E3" s="55">
        <v>1122</v>
      </c>
      <c r="F3" s="53" t="s">
        <v>122</v>
      </c>
      <c r="G3" s="55">
        <v>293342</v>
      </c>
      <c r="H3" s="54">
        <v>0.38419999999999999</v>
      </c>
      <c r="I3" s="53" t="s">
        <v>123</v>
      </c>
    </row>
    <row r="4" spans="1:22" ht="18.75" x14ac:dyDescent="0.3">
      <c r="A4" s="52" t="s">
        <v>17</v>
      </c>
      <c r="B4" s="49" t="s">
        <v>14</v>
      </c>
      <c r="C4" s="53" t="s">
        <v>124</v>
      </c>
      <c r="D4" s="54">
        <v>0.72060000000000002</v>
      </c>
      <c r="E4" s="55">
        <v>1093</v>
      </c>
      <c r="F4" s="53" t="s">
        <v>125</v>
      </c>
      <c r="G4" s="55">
        <v>154781</v>
      </c>
      <c r="H4" s="54">
        <v>0.4153</v>
      </c>
      <c r="I4" s="53" t="s">
        <v>126</v>
      </c>
    </row>
    <row r="5" spans="1:22" ht="18.75" x14ac:dyDescent="0.3">
      <c r="A5" s="52" t="s">
        <v>15</v>
      </c>
      <c r="B5" s="49" t="s">
        <v>16</v>
      </c>
      <c r="C5" s="53" t="s">
        <v>127</v>
      </c>
      <c r="D5" s="54">
        <v>0.82989999999999997</v>
      </c>
      <c r="E5" s="55">
        <v>1154</v>
      </c>
      <c r="F5" s="53" t="s">
        <v>128</v>
      </c>
      <c r="G5" s="55">
        <v>624692</v>
      </c>
      <c r="H5" s="54">
        <v>0.38800000000000001</v>
      </c>
      <c r="I5" s="53" t="s">
        <v>129</v>
      </c>
    </row>
    <row r="6" spans="1:22" ht="18.75" x14ac:dyDescent="0.3">
      <c r="A6" s="52" t="s">
        <v>19</v>
      </c>
      <c r="B6" s="49" t="s">
        <v>18</v>
      </c>
      <c r="C6" s="53" t="s">
        <v>130</v>
      </c>
      <c r="D6" s="54">
        <v>0.66569999999999996</v>
      </c>
      <c r="E6" s="55">
        <v>1327</v>
      </c>
      <c r="F6" s="53" t="s">
        <v>131</v>
      </c>
      <c r="G6" s="55">
        <v>2511779</v>
      </c>
      <c r="H6" s="54">
        <v>0.52500000000000002</v>
      </c>
      <c r="I6" s="53" t="s">
        <v>132</v>
      </c>
      <c r="P6" s="1"/>
    </row>
    <row r="7" spans="1:22" ht="26.25" x14ac:dyDescent="0.4">
      <c r="A7" s="52" t="s">
        <v>21</v>
      </c>
      <c r="B7" s="49" t="s">
        <v>20</v>
      </c>
      <c r="C7" s="53" t="s">
        <v>133</v>
      </c>
      <c r="D7" s="54">
        <v>0.80049999999999999</v>
      </c>
      <c r="E7" s="55">
        <v>1172</v>
      </c>
      <c r="F7" s="53" t="s">
        <v>134</v>
      </c>
      <c r="G7" s="55">
        <v>347696</v>
      </c>
      <c r="H7" s="54">
        <v>0.48699999999999999</v>
      </c>
      <c r="I7" s="53" t="s">
        <v>135</v>
      </c>
      <c r="K7" s="67" t="s">
        <v>343</v>
      </c>
      <c r="L7" s="67"/>
      <c r="M7" s="67"/>
      <c r="N7" s="67"/>
      <c r="O7" s="67"/>
      <c r="P7" s="67"/>
      <c r="Q7" s="67"/>
      <c r="R7" s="67"/>
      <c r="S7" s="67"/>
      <c r="T7" s="67"/>
      <c r="U7" s="67"/>
      <c r="V7" s="67"/>
    </row>
    <row r="8" spans="1:22" ht="26.25" x14ac:dyDescent="0.4">
      <c r="A8" s="52" t="s">
        <v>23</v>
      </c>
      <c r="B8" s="49" t="s">
        <v>22</v>
      </c>
      <c r="C8" s="53" t="s">
        <v>136</v>
      </c>
      <c r="D8" s="54">
        <v>0.65369999999999995</v>
      </c>
      <c r="E8" s="55">
        <v>1212</v>
      </c>
      <c r="F8" s="53" t="s">
        <v>137</v>
      </c>
      <c r="G8" s="55">
        <v>157099</v>
      </c>
      <c r="H8" s="54">
        <v>0.65029999999999999</v>
      </c>
      <c r="I8" s="53" t="s">
        <v>138</v>
      </c>
      <c r="K8" s="67" t="s">
        <v>344</v>
      </c>
      <c r="L8" s="67"/>
      <c r="M8" s="67"/>
      <c r="N8" s="67"/>
      <c r="O8" s="67"/>
      <c r="P8" s="67"/>
      <c r="Q8" s="67"/>
      <c r="R8" s="67"/>
      <c r="S8" s="67"/>
      <c r="T8" s="67"/>
      <c r="U8" s="67"/>
      <c r="V8" s="67"/>
    </row>
    <row r="9" spans="1:22" ht="18.75" x14ac:dyDescent="0.3">
      <c r="A9" s="52" t="s">
        <v>25</v>
      </c>
      <c r="B9" s="49" t="s">
        <v>24</v>
      </c>
      <c r="C9" s="53" t="s">
        <v>139</v>
      </c>
      <c r="D9" s="54">
        <v>0.66259999999999997</v>
      </c>
      <c r="E9" s="55">
        <v>1130</v>
      </c>
      <c r="F9" s="53" t="s">
        <v>140</v>
      </c>
      <c r="G9" s="55">
        <v>57022</v>
      </c>
      <c r="H9" s="54">
        <v>0.45</v>
      </c>
      <c r="I9" s="53" t="s">
        <v>141</v>
      </c>
    </row>
    <row r="10" spans="1:22" ht="18.75" x14ac:dyDescent="0.3">
      <c r="A10" s="52" t="s">
        <v>27</v>
      </c>
      <c r="B10" s="49" t="s">
        <v>26</v>
      </c>
      <c r="C10" s="53" t="s">
        <v>142</v>
      </c>
      <c r="D10" s="54">
        <v>0.69940000000000002</v>
      </c>
      <c r="E10" s="55">
        <v>1153</v>
      </c>
      <c r="F10" s="53" t="s">
        <v>143</v>
      </c>
      <c r="G10" s="55">
        <v>1020701</v>
      </c>
      <c r="H10" s="54">
        <v>0.53979999999999995</v>
      </c>
      <c r="I10" s="53" t="s">
        <v>144</v>
      </c>
    </row>
    <row r="11" spans="1:22" ht="18.75" x14ac:dyDescent="0.3">
      <c r="A11" s="52" t="s">
        <v>29</v>
      </c>
      <c r="B11" s="49" t="s">
        <v>28</v>
      </c>
      <c r="C11" s="53" t="s">
        <v>145</v>
      </c>
      <c r="D11" s="54">
        <v>0.70309999999999995</v>
      </c>
      <c r="E11" s="55">
        <v>1121</v>
      </c>
      <c r="F11" s="53" t="s">
        <v>146</v>
      </c>
      <c r="G11" s="55">
        <v>540715</v>
      </c>
      <c r="H11" s="54">
        <v>0.42109999999999997</v>
      </c>
      <c r="I11" s="53" t="s">
        <v>147</v>
      </c>
    </row>
    <row r="12" spans="1:22" ht="18.75" x14ac:dyDescent="0.3">
      <c r="A12" s="52" t="s">
        <v>31</v>
      </c>
      <c r="B12" s="49" t="s">
        <v>30</v>
      </c>
      <c r="C12" s="53" t="s">
        <v>148</v>
      </c>
      <c r="D12" s="54">
        <v>0.78510000000000002</v>
      </c>
      <c r="E12" s="55">
        <v>1107</v>
      </c>
      <c r="F12" s="53" t="s">
        <v>149</v>
      </c>
      <c r="G12" s="55">
        <v>58904</v>
      </c>
      <c r="H12" s="54">
        <v>0.40939999999999999</v>
      </c>
      <c r="I12" s="53" t="s">
        <v>150</v>
      </c>
    </row>
    <row r="13" spans="1:22" ht="18.75" x14ac:dyDescent="0.3">
      <c r="A13" s="52" t="s">
        <v>39</v>
      </c>
      <c r="B13" s="49" t="s">
        <v>32</v>
      </c>
      <c r="C13" s="53" t="s">
        <v>151</v>
      </c>
      <c r="D13" s="54">
        <v>0.77629999999999999</v>
      </c>
      <c r="E13" s="55">
        <v>1141</v>
      </c>
      <c r="F13" s="53" t="s">
        <v>152</v>
      </c>
      <c r="G13" s="55">
        <v>202248</v>
      </c>
      <c r="H13" s="54">
        <v>0.58489999999999998</v>
      </c>
      <c r="I13" s="53" t="s">
        <v>153</v>
      </c>
    </row>
    <row r="14" spans="1:22" ht="18.75" x14ac:dyDescent="0.3">
      <c r="A14" s="52" t="s">
        <v>33</v>
      </c>
      <c r="B14" s="49" t="s">
        <v>34</v>
      </c>
      <c r="C14" s="53" t="s">
        <v>154</v>
      </c>
      <c r="D14" s="54">
        <v>0.80269999999999997</v>
      </c>
      <c r="E14" s="55">
        <v>1118</v>
      </c>
      <c r="F14" s="53" t="s">
        <v>155</v>
      </c>
      <c r="G14" s="55">
        <v>125621</v>
      </c>
      <c r="H14" s="54">
        <v>0.50600000000000001</v>
      </c>
      <c r="I14" s="53" t="s">
        <v>156</v>
      </c>
    </row>
    <row r="15" spans="1:22" ht="18.75" x14ac:dyDescent="0.3">
      <c r="A15" s="52" t="s">
        <v>35</v>
      </c>
      <c r="B15" s="49" t="s">
        <v>36</v>
      </c>
      <c r="C15" s="53" t="s">
        <v>157</v>
      </c>
      <c r="D15" s="54">
        <v>0.73050000000000004</v>
      </c>
      <c r="E15" s="55">
        <v>1138</v>
      </c>
      <c r="F15" s="53" t="s">
        <v>158</v>
      </c>
      <c r="G15" s="55">
        <v>673981</v>
      </c>
      <c r="H15" s="54">
        <v>0.4798</v>
      </c>
      <c r="I15" s="53" t="s">
        <v>159</v>
      </c>
    </row>
    <row r="16" spans="1:22" ht="18.75" x14ac:dyDescent="0.3">
      <c r="A16" s="52" t="s">
        <v>37</v>
      </c>
      <c r="B16" s="49" t="s">
        <v>38</v>
      </c>
      <c r="C16" s="53" t="s">
        <v>160</v>
      </c>
      <c r="D16" s="54">
        <v>0.78029999999999999</v>
      </c>
      <c r="E16" s="55">
        <v>1152</v>
      </c>
      <c r="F16" s="53" t="s">
        <v>161</v>
      </c>
      <c r="G16" s="55">
        <v>446381</v>
      </c>
      <c r="H16" s="54">
        <v>0.55979999999999996</v>
      </c>
      <c r="I16" s="53" t="s">
        <v>162</v>
      </c>
    </row>
    <row r="17" spans="1:9" ht="18.75" x14ac:dyDescent="0.3">
      <c r="A17" s="52" t="s">
        <v>41</v>
      </c>
      <c r="B17" s="49" t="s">
        <v>40</v>
      </c>
      <c r="C17" s="53" t="s">
        <v>163</v>
      </c>
      <c r="D17" s="54">
        <v>0.79330000000000001</v>
      </c>
      <c r="E17" s="55">
        <v>1067</v>
      </c>
      <c r="F17" s="53" t="s">
        <v>164</v>
      </c>
      <c r="G17" s="55">
        <v>185078</v>
      </c>
      <c r="H17" s="54">
        <v>0.44950000000000001</v>
      </c>
      <c r="I17" s="53" t="s">
        <v>165</v>
      </c>
    </row>
    <row r="18" spans="1:9" ht="18.75" x14ac:dyDescent="0.3">
      <c r="A18" s="52" t="s">
        <v>43</v>
      </c>
      <c r="B18" s="49" t="s">
        <v>42</v>
      </c>
      <c r="C18" s="53" t="s">
        <v>166</v>
      </c>
      <c r="D18" s="54">
        <v>0.77939999999999998</v>
      </c>
      <c r="E18" s="55">
        <v>1082</v>
      </c>
      <c r="F18" s="53" t="s">
        <v>167</v>
      </c>
      <c r="G18" s="55">
        <v>266017</v>
      </c>
      <c r="H18" s="54">
        <v>0.45550000000000002</v>
      </c>
      <c r="I18" s="53" t="s">
        <v>168</v>
      </c>
    </row>
    <row r="19" spans="1:9" ht="18.75" x14ac:dyDescent="0.3">
      <c r="A19" s="52" t="s">
        <v>45</v>
      </c>
      <c r="B19" s="49" t="s">
        <v>44</v>
      </c>
      <c r="C19" s="53" t="s">
        <v>169</v>
      </c>
      <c r="D19" s="54">
        <v>0.7107</v>
      </c>
      <c r="E19" s="55">
        <v>1105</v>
      </c>
      <c r="F19" s="53" t="s">
        <v>170</v>
      </c>
      <c r="G19" s="55">
        <v>242117</v>
      </c>
      <c r="H19" s="54">
        <v>0.44309999999999999</v>
      </c>
      <c r="I19" s="53" t="s">
        <v>171</v>
      </c>
    </row>
    <row r="20" spans="1:9" ht="18.75" x14ac:dyDescent="0.3">
      <c r="A20" s="52" t="s">
        <v>51</v>
      </c>
      <c r="B20" s="49" t="s">
        <v>46</v>
      </c>
      <c r="C20" s="53" t="s">
        <v>172</v>
      </c>
      <c r="D20" s="54">
        <v>0.63829999999999998</v>
      </c>
      <c r="E20" s="55">
        <v>1302</v>
      </c>
      <c r="F20" s="53" t="s">
        <v>173</v>
      </c>
      <c r="G20" s="55">
        <v>456074</v>
      </c>
      <c r="H20" s="54">
        <v>0.59160000000000001</v>
      </c>
      <c r="I20" s="53" t="s">
        <v>174</v>
      </c>
    </row>
    <row r="21" spans="1:9" ht="18.75" x14ac:dyDescent="0.3">
      <c r="A21" s="52" t="s">
        <v>49</v>
      </c>
      <c r="B21" s="49" t="s">
        <v>48</v>
      </c>
      <c r="C21" s="53" t="s">
        <v>175</v>
      </c>
      <c r="D21" s="54">
        <v>0.73839999999999995</v>
      </c>
      <c r="E21" s="55">
        <v>1201</v>
      </c>
      <c r="F21" s="53" t="s">
        <v>176</v>
      </c>
      <c r="G21" s="55">
        <v>330061</v>
      </c>
      <c r="H21" s="54">
        <v>0.48770000000000002</v>
      </c>
      <c r="I21" s="53" t="s">
        <v>177</v>
      </c>
    </row>
    <row r="22" spans="1:9" ht="18.75" x14ac:dyDescent="0.3">
      <c r="A22" s="52" t="s">
        <v>47</v>
      </c>
      <c r="B22" s="49" t="s">
        <v>50</v>
      </c>
      <c r="C22" s="53" t="s">
        <v>178</v>
      </c>
      <c r="D22" s="54">
        <v>0.68840000000000001</v>
      </c>
      <c r="E22" s="55">
        <v>1206</v>
      </c>
      <c r="F22" s="53" t="s">
        <v>179</v>
      </c>
      <c r="G22" s="55">
        <v>71475</v>
      </c>
      <c r="H22" s="54">
        <v>0.51259999999999994</v>
      </c>
      <c r="I22" s="53" t="s">
        <v>180</v>
      </c>
    </row>
    <row r="23" spans="1:9" ht="18.75" x14ac:dyDescent="0.3">
      <c r="A23" s="52" t="s">
        <v>53</v>
      </c>
      <c r="B23" s="49" t="s">
        <v>52</v>
      </c>
      <c r="C23" s="53" t="s">
        <v>181</v>
      </c>
      <c r="D23" s="54">
        <v>0.76139999999999997</v>
      </c>
      <c r="E23" s="55">
        <v>1140</v>
      </c>
      <c r="F23" s="53" t="s">
        <v>182</v>
      </c>
      <c r="G23" s="55">
        <v>469649</v>
      </c>
      <c r="H23" s="54">
        <v>0.49070000000000003</v>
      </c>
      <c r="I23" s="53" t="s">
        <v>183</v>
      </c>
    </row>
    <row r="24" spans="1:9" ht="18.75" x14ac:dyDescent="0.3">
      <c r="A24" s="52" t="s">
        <v>55</v>
      </c>
      <c r="B24" s="49" t="s">
        <v>54</v>
      </c>
      <c r="C24" s="53" t="s">
        <v>184</v>
      </c>
      <c r="D24" s="54">
        <v>0.74550000000000005</v>
      </c>
      <c r="E24" s="55">
        <v>1249</v>
      </c>
      <c r="F24" s="53" t="s">
        <v>185</v>
      </c>
      <c r="G24" s="55">
        <v>373396</v>
      </c>
      <c r="H24" s="54">
        <v>0.505</v>
      </c>
      <c r="I24" s="53" t="s">
        <v>186</v>
      </c>
    </row>
    <row r="25" spans="1:9" ht="18.75" x14ac:dyDescent="0.3">
      <c r="A25" s="52" t="s">
        <v>59</v>
      </c>
      <c r="B25" s="49" t="s">
        <v>56</v>
      </c>
      <c r="C25" s="53" t="s">
        <v>187</v>
      </c>
      <c r="D25" s="54">
        <v>0.75590000000000002</v>
      </c>
      <c r="E25" s="55">
        <v>1129</v>
      </c>
      <c r="F25" s="53" t="s">
        <v>188</v>
      </c>
      <c r="G25" s="55">
        <v>326216</v>
      </c>
      <c r="H25" s="54">
        <v>0.52039999999999997</v>
      </c>
      <c r="I25" s="53" t="s">
        <v>138</v>
      </c>
    </row>
    <row r="26" spans="1:9" ht="18.75" x14ac:dyDescent="0.3">
      <c r="A26" s="52" t="s">
        <v>57</v>
      </c>
      <c r="B26" s="49" t="s">
        <v>58</v>
      </c>
      <c r="C26" s="53" t="s">
        <v>189</v>
      </c>
      <c r="D26" s="54">
        <v>0.72760000000000002</v>
      </c>
      <c r="E26" s="55">
        <v>1061</v>
      </c>
      <c r="F26" s="53" t="s">
        <v>190</v>
      </c>
      <c r="G26" s="55">
        <v>155950</v>
      </c>
      <c r="H26" s="54">
        <v>0.43309999999999998</v>
      </c>
      <c r="I26" s="53" t="s">
        <v>191</v>
      </c>
    </row>
    <row r="27" spans="1:9" ht="18.75" x14ac:dyDescent="0.3">
      <c r="A27" s="52" t="s">
        <v>61</v>
      </c>
      <c r="B27" s="49" t="s">
        <v>60</v>
      </c>
      <c r="C27" s="53" t="s">
        <v>192</v>
      </c>
      <c r="D27" s="54">
        <v>0.83320000000000005</v>
      </c>
      <c r="E27" s="55">
        <v>1116</v>
      </c>
      <c r="F27" s="53" t="s">
        <v>193</v>
      </c>
      <c r="G27" s="55">
        <v>47134</v>
      </c>
      <c r="H27" s="54">
        <v>0.37359999999999999</v>
      </c>
      <c r="I27" s="53" t="s">
        <v>194</v>
      </c>
    </row>
    <row r="28" spans="1:9" ht="18.75" x14ac:dyDescent="0.3">
      <c r="A28" s="52" t="s">
        <v>75</v>
      </c>
      <c r="B28" s="49" t="s">
        <v>62</v>
      </c>
      <c r="C28" s="53" t="s">
        <v>195</v>
      </c>
      <c r="D28" s="54">
        <v>0.69710000000000005</v>
      </c>
      <c r="E28" s="55">
        <v>1172</v>
      </c>
      <c r="F28" s="53" t="s">
        <v>196</v>
      </c>
      <c r="G28" s="55">
        <v>554621</v>
      </c>
      <c r="H28" s="54">
        <v>0.43859999999999999</v>
      </c>
      <c r="I28" s="53" t="s">
        <v>197</v>
      </c>
    </row>
    <row r="29" spans="1:9" ht="18.75" x14ac:dyDescent="0.3">
      <c r="A29" s="52" t="s">
        <v>77</v>
      </c>
      <c r="B29" s="49" t="s">
        <v>64</v>
      </c>
      <c r="C29" s="53" t="s">
        <v>198</v>
      </c>
      <c r="D29" s="54">
        <v>0.72760000000000002</v>
      </c>
      <c r="E29" s="55">
        <v>1040</v>
      </c>
      <c r="F29" s="53" t="s">
        <v>199</v>
      </c>
      <c r="G29" s="55">
        <v>51250</v>
      </c>
      <c r="H29" s="54">
        <v>0.43409999999999999</v>
      </c>
      <c r="I29" s="53" t="s">
        <v>200</v>
      </c>
    </row>
    <row r="30" spans="1:9" ht="18.75" x14ac:dyDescent="0.3">
      <c r="A30" s="52" t="s">
        <v>63</v>
      </c>
      <c r="B30" s="49" t="s">
        <v>66</v>
      </c>
      <c r="C30" s="53" t="s">
        <v>201</v>
      </c>
      <c r="D30" s="54">
        <v>0.71550000000000002</v>
      </c>
      <c r="E30" s="55">
        <v>1109</v>
      </c>
      <c r="F30" s="53" t="s">
        <v>202</v>
      </c>
      <c r="G30" s="55">
        <v>135452</v>
      </c>
      <c r="H30" s="54">
        <v>0.55220000000000002</v>
      </c>
      <c r="I30" s="53" t="s">
        <v>203</v>
      </c>
    </row>
    <row r="31" spans="1:9" ht="18.75" x14ac:dyDescent="0.3">
      <c r="A31" s="52" t="s">
        <v>67</v>
      </c>
      <c r="B31" s="49" t="s">
        <v>68</v>
      </c>
      <c r="C31" s="53" t="s">
        <v>204</v>
      </c>
      <c r="D31" s="54">
        <v>0.78029999999999999</v>
      </c>
      <c r="E31" s="55">
        <v>1222</v>
      </c>
      <c r="F31" s="53" t="s">
        <v>205</v>
      </c>
      <c r="G31" s="55">
        <v>214571</v>
      </c>
      <c r="H31" s="54">
        <v>0.51380000000000003</v>
      </c>
      <c r="I31" s="53" t="s">
        <v>206</v>
      </c>
    </row>
    <row r="32" spans="1:9" ht="18.75" x14ac:dyDescent="0.3">
      <c r="A32" s="52" t="s">
        <v>69</v>
      </c>
      <c r="B32" s="49" t="s">
        <v>70</v>
      </c>
      <c r="C32" s="53" t="s">
        <v>207</v>
      </c>
      <c r="D32" s="54">
        <v>0.76280000000000003</v>
      </c>
      <c r="E32" s="55">
        <v>1222</v>
      </c>
      <c r="F32" s="53" t="s">
        <v>208</v>
      </c>
      <c r="G32" s="55">
        <v>384723</v>
      </c>
      <c r="H32" s="54">
        <v>0.52139999999999997</v>
      </c>
      <c r="I32" s="53" t="s">
        <v>209</v>
      </c>
    </row>
    <row r="33" spans="1:9" ht="18.75" x14ac:dyDescent="0.3">
      <c r="A33" s="52" t="s">
        <v>71</v>
      </c>
      <c r="B33" s="49" t="s">
        <v>72</v>
      </c>
      <c r="C33" s="53" t="s">
        <v>210</v>
      </c>
      <c r="D33" s="54">
        <v>0.69569999999999999</v>
      </c>
      <c r="E33" s="55">
        <v>1104</v>
      </c>
      <c r="F33" s="53" t="s">
        <v>211</v>
      </c>
      <c r="G33" s="55">
        <v>109413</v>
      </c>
      <c r="H33" s="54">
        <v>0.33300000000000002</v>
      </c>
      <c r="I33" s="53" t="s">
        <v>212</v>
      </c>
    </row>
    <row r="34" spans="1:9" ht="18.75" x14ac:dyDescent="0.3">
      <c r="A34" s="52" t="s">
        <v>65</v>
      </c>
      <c r="B34" s="49" t="s">
        <v>74</v>
      </c>
      <c r="C34" s="53" t="s">
        <v>213</v>
      </c>
      <c r="D34" s="54">
        <v>0.88400000000000001</v>
      </c>
      <c r="E34" s="55">
        <v>1100</v>
      </c>
      <c r="F34" s="53" t="s">
        <v>214</v>
      </c>
      <c r="G34" s="55">
        <v>113852</v>
      </c>
      <c r="H34" s="54">
        <v>0.47820000000000001</v>
      </c>
      <c r="I34" s="53" t="s">
        <v>215</v>
      </c>
    </row>
    <row r="35" spans="1:9" ht="18.75" x14ac:dyDescent="0.3">
      <c r="A35" s="52" t="s">
        <v>73</v>
      </c>
      <c r="B35" s="49" t="s">
        <v>76</v>
      </c>
      <c r="C35" s="53" t="s">
        <v>216</v>
      </c>
      <c r="D35" s="54">
        <v>0.69059999999999999</v>
      </c>
      <c r="E35" s="55">
        <v>1257</v>
      </c>
      <c r="F35" s="53" t="s">
        <v>217</v>
      </c>
      <c r="G35" s="55">
        <v>1095913</v>
      </c>
      <c r="H35" s="54">
        <v>0.55249999999999999</v>
      </c>
      <c r="I35" s="53" t="s">
        <v>218</v>
      </c>
    </row>
    <row r="36" spans="1:9" ht="18.75" x14ac:dyDescent="0.3">
      <c r="A36" s="52" t="s">
        <v>79</v>
      </c>
      <c r="B36" s="49" t="s">
        <v>78</v>
      </c>
      <c r="C36" s="53" t="s">
        <v>219</v>
      </c>
      <c r="D36" s="54">
        <v>0.69669999999999999</v>
      </c>
      <c r="E36" s="55">
        <v>1160</v>
      </c>
      <c r="F36" s="53" t="s">
        <v>220</v>
      </c>
      <c r="G36" s="55">
        <v>618450</v>
      </c>
      <c r="H36" s="54">
        <v>0.49299999999999999</v>
      </c>
      <c r="I36" s="53" t="s">
        <v>221</v>
      </c>
    </row>
    <row r="37" spans="1:9" ht="18.75" x14ac:dyDescent="0.3">
      <c r="A37" s="52" t="s">
        <v>81</v>
      </c>
      <c r="B37" s="49" t="s">
        <v>80</v>
      </c>
      <c r="C37" s="53" t="s">
        <v>222</v>
      </c>
      <c r="D37" s="54">
        <v>0.76819999999999999</v>
      </c>
      <c r="E37" s="55">
        <v>1095</v>
      </c>
      <c r="F37" s="53" t="s">
        <v>223</v>
      </c>
      <c r="G37" s="55">
        <v>197143</v>
      </c>
      <c r="H37" s="54">
        <v>0.46139999999999998</v>
      </c>
      <c r="I37" s="53" t="s">
        <v>224</v>
      </c>
    </row>
    <row r="38" spans="1:9" ht="18.75" x14ac:dyDescent="0.3">
      <c r="A38" s="52" t="s">
        <v>83</v>
      </c>
      <c r="B38" s="49" t="s">
        <v>82</v>
      </c>
      <c r="C38" s="53" t="s">
        <v>225</v>
      </c>
      <c r="D38" s="54">
        <v>0.7913</v>
      </c>
      <c r="E38" s="55">
        <v>1213</v>
      </c>
      <c r="F38" s="53" t="s">
        <v>226</v>
      </c>
      <c r="G38" s="55">
        <v>196352</v>
      </c>
      <c r="H38" s="54">
        <v>0.50149999999999995</v>
      </c>
      <c r="I38" s="53" t="s">
        <v>203</v>
      </c>
    </row>
    <row r="39" spans="1:9" ht="18.75" x14ac:dyDescent="0.3">
      <c r="A39" s="52" t="s">
        <v>85</v>
      </c>
      <c r="B39" s="49" t="s">
        <v>84</v>
      </c>
      <c r="C39" s="53" t="s">
        <v>227</v>
      </c>
      <c r="D39" s="54">
        <v>0.76049999999999995</v>
      </c>
      <c r="E39" s="55">
        <v>1190</v>
      </c>
      <c r="F39" s="53" t="s">
        <v>228</v>
      </c>
      <c r="G39" s="55">
        <v>639346</v>
      </c>
      <c r="H39" s="54">
        <v>0.55069999999999997</v>
      </c>
      <c r="I39" s="53" t="s">
        <v>229</v>
      </c>
    </row>
    <row r="40" spans="1:9" ht="18.75" x14ac:dyDescent="0.3">
      <c r="A40" s="52" t="s">
        <v>87</v>
      </c>
      <c r="B40" s="49" t="s">
        <v>86</v>
      </c>
      <c r="C40" s="53" t="s">
        <v>230</v>
      </c>
      <c r="D40" s="54">
        <v>0.61750000000000005</v>
      </c>
      <c r="E40" s="55">
        <v>1258</v>
      </c>
      <c r="F40" s="53" t="s">
        <v>231</v>
      </c>
      <c r="G40" s="55">
        <v>74496</v>
      </c>
      <c r="H40" s="54">
        <v>0.68579999999999997</v>
      </c>
      <c r="I40" s="53" t="s">
        <v>232</v>
      </c>
    </row>
    <row r="41" spans="1:9" ht="18.75" x14ac:dyDescent="0.3">
      <c r="A41" s="52" t="s">
        <v>89</v>
      </c>
      <c r="B41" s="49" t="s">
        <v>88</v>
      </c>
      <c r="C41" s="53" t="s">
        <v>233</v>
      </c>
      <c r="D41" s="54">
        <v>0.74</v>
      </c>
      <c r="E41" s="55">
        <v>1138</v>
      </c>
      <c r="F41" s="53" t="s">
        <v>234</v>
      </c>
      <c r="G41" s="55">
        <v>242297</v>
      </c>
      <c r="H41" s="54">
        <v>0.40150000000000002</v>
      </c>
      <c r="I41" s="53" t="s">
        <v>235</v>
      </c>
    </row>
    <row r="42" spans="1:9" ht="18.75" x14ac:dyDescent="0.3">
      <c r="A42" s="52" t="s">
        <v>91</v>
      </c>
      <c r="B42" s="49" t="s">
        <v>90</v>
      </c>
      <c r="C42" s="53" t="s">
        <v>236</v>
      </c>
      <c r="D42" s="54">
        <v>0.82210000000000005</v>
      </c>
      <c r="E42" s="55">
        <v>1185</v>
      </c>
      <c r="F42" s="53" t="s">
        <v>237</v>
      </c>
      <c r="G42" s="55">
        <v>51197</v>
      </c>
      <c r="H42" s="54">
        <v>0.4778</v>
      </c>
      <c r="I42" s="53" t="s">
        <v>238</v>
      </c>
    </row>
    <row r="43" spans="1:9" ht="18.75" x14ac:dyDescent="0.3">
      <c r="A43" s="52" t="s">
        <v>93</v>
      </c>
      <c r="B43" s="49" t="s">
        <v>92</v>
      </c>
      <c r="C43" s="53" t="s">
        <v>239</v>
      </c>
      <c r="D43" s="54">
        <v>0.69830000000000003</v>
      </c>
      <c r="E43" s="55">
        <v>1143</v>
      </c>
      <c r="F43" s="53" t="s">
        <v>240</v>
      </c>
      <c r="G43" s="55">
        <v>324786</v>
      </c>
      <c r="H43" s="54">
        <v>0.55110000000000003</v>
      </c>
      <c r="I43" s="53" t="s">
        <v>241</v>
      </c>
    </row>
    <row r="44" spans="1:9" ht="18.75" x14ac:dyDescent="0.3">
      <c r="A44" s="52" t="s">
        <v>95</v>
      </c>
      <c r="B44" s="49" t="s">
        <v>94</v>
      </c>
      <c r="C44" s="53" t="s">
        <v>242</v>
      </c>
      <c r="D44" s="54">
        <v>0.75549999999999995</v>
      </c>
      <c r="E44" s="55">
        <v>1108</v>
      </c>
      <c r="F44" s="53" t="s">
        <v>243</v>
      </c>
      <c r="G44" s="55">
        <v>1572468</v>
      </c>
      <c r="H44" s="54">
        <v>0.45319999999999999</v>
      </c>
      <c r="I44" s="53" t="s">
        <v>244</v>
      </c>
    </row>
    <row r="45" spans="1:9" ht="18.75" x14ac:dyDescent="0.3">
      <c r="A45" s="52" t="s">
        <v>97</v>
      </c>
      <c r="B45" s="49" t="s">
        <v>96</v>
      </c>
      <c r="C45" s="53" t="s">
        <v>245</v>
      </c>
      <c r="D45" s="54">
        <v>0.81869999999999998</v>
      </c>
      <c r="E45" s="55">
        <v>1207</v>
      </c>
      <c r="F45" s="53" t="s">
        <v>246</v>
      </c>
      <c r="G45" s="55">
        <v>401353</v>
      </c>
      <c r="H45" s="54">
        <v>0.55000000000000004</v>
      </c>
      <c r="I45" s="53" t="s">
        <v>247</v>
      </c>
    </row>
    <row r="46" spans="1:9" ht="18.75" x14ac:dyDescent="0.3">
      <c r="A46" s="52" t="s">
        <v>101</v>
      </c>
      <c r="B46" s="49" t="s">
        <v>98</v>
      </c>
      <c r="C46" s="53" t="s">
        <v>248</v>
      </c>
      <c r="D46" s="54">
        <v>0.73580000000000001</v>
      </c>
      <c r="E46" s="55">
        <v>1181</v>
      </c>
      <c r="F46" s="53" t="s">
        <v>249</v>
      </c>
      <c r="G46" s="55">
        <v>545127</v>
      </c>
      <c r="H46" s="54">
        <v>0.51429999999999998</v>
      </c>
      <c r="I46" s="53" t="s">
        <v>250</v>
      </c>
    </row>
    <row r="47" spans="1:9" ht="18.75" x14ac:dyDescent="0.3">
      <c r="A47" s="52" t="s">
        <v>99</v>
      </c>
      <c r="B47" s="49" t="s">
        <v>100</v>
      </c>
      <c r="C47" s="53" t="s">
        <v>251</v>
      </c>
      <c r="D47" s="54">
        <v>0.58989999999999998</v>
      </c>
      <c r="E47" s="55">
        <v>1307</v>
      </c>
      <c r="F47" s="53" t="s">
        <v>252</v>
      </c>
      <c r="G47" s="55">
        <v>35746</v>
      </c>
      <c r="H47" s="54">
        <v>0.57730000000000004</v>
      </c>
      <c r="I47" s="53" t="s">
        <v>253</v>
      </c>
    </row>
    <row r="48" spans="1:9" ht="18.75" x14ac:dyDescent="0.3">
      <c r="A48" s="52" t="s">
        <v>103</v>
      </c>
      <c r="B48" s="49" t="s">
        <v>102</v>
      </c>
      <c r="C48" s="53" t="s">
        <v>254</v>
      </c>
      <c r="D48" s="54">
        <v>0.79679999999999995</v>
      </c>
      <c r="E48" s="55">
        <v>1234</v>
      </c>
      <c r="F48" s="53" t="s">
        <v>255</v>
      </c>
      <c r="G48" s="55">
        <v>309123</v>
      </c>
      <c r="H48" s="54">
        <v>0.49130000000000001</v>
      </c>
      <c r="I48" s="53" t="s">
        <v>256</v>
      </c>
    </row>
    <row r="49" spans="1:9" ht="18.75" x14ac:dyDescent="0.3">
      <c r="A49" s="52" t="s">
        <v>107</v>
      </c>
      <c r="B49" s="49" t="s">
        <v>104</v>
      </c>
      <c r="C49" s="53" t="s">
        <v>257</v>
      </c>
      <c r="D49" s="54">
        <v>0.79369999999999996</v>
      </c>
      <c r="E49" s="55">
        <v>1190</v>
      </c>
      <c r="F49" s="53" t="s">
        <v>258</v>
      </c>
      <c r="G49" s="55">
        <v>315286</v>
      </c>
      <c r="H49" s="54">
        <v>0.54820000000000002</v>
      </c>
      <c r="I49" s="53" t="s">
        <v>259</v>
      </c>
    </row>
    <row r="50" spans="1:9" ht="18.75" x14ac:dyDescent="0.3">
      <c r="A50" s="52" t="s">
        <v>105</v>
      </c>
      <c r="B50" s="49" t="s">
        <v>106</v>
      </c>
      <c r="C50" s="53" t="s">
        <v>260</v>
      </c>
      <c r="D50" s="54">
        <v>0.83399999999999996</v>
      </c>
      <c r="E50" s="55">
        <v>1013</v>
      </c>
      <c r="F50" s="53" t="s">
        <v>261</v>
      </c>
      <c r="G50" s="55">
        <v>132068</v>
      </c>
      <c r="H50" s="54">
        <v>0.49890000000000001</v>
      </c>
      <c r="I50" s="53" t="s">
        <v>262</v>
      </c>
    </row>
    <row r="51" spans="1:9" ht="18.75" x14ac:dyDescent="0.3">
      <c r="A51" s="52" t="s">
        <v>109</v>
      </c>
      <c r="B51" s="49" t="s">
        <v>108</v>
      </c>
      <c r="C51" s="53" t="s">
        <v>263</v>
      </c>
      <c r="D51" s="54">
        <v>0.97009999999999996</v>
      </c>
      <c r="E51" s="55">
        <v>1083</v>
      </c>
      <c r="F51" s="53" t="s">
        <v>264</v>
      </c>
      <c r="G51" s="55">
        <v>29971</v>
      </c>
      <c r="H51" s="54">
        <v>0.43440000000000001</v>
      </c>
      <c r="I51" s="53" t="s">
        <v>265</v>
      </c>
    </row>
  </sheetData>
  <conditionalFormatting sqref="D1:D51 H1:H51">
    <cfRule type="top10" dxfId="113" priority="4" rank="3"/>
  </conditionalFormatting>
  <conditionalFormatting sqref="D2:D51">
    <cfRule type="top10" dxfId="112" priority="3" bottom="1" rank="3"/>
  </conditionalFormatting>
  <conditionalFormatting sqref="H2:H51">
    <cfRule type="top10" dxfId="111" priority="2" bottom="1" rank="3"/>
    <cfRule type="top10" dxfId="110" priority="1" rank="3"/>
  </conditionalFormatting>
  <hyperlinks>
    <hyperlink ref="A51" r:id="rId1" tooltip="Admission Statistics for Wyoming Colleges" display="https://www.univstats.com/states/wyoming" xr:uid="{E97DEEEC-5CEA-434F-9763-0D759FE86FAE}"/>
    <hyperlink ref="A50" r:id="rId2" tooltip="Admission Statistics for West Virginia Colleges" display="https://www.univstats.com/states/west-virginia" xr:uid="{2BB37AC0-6124-6045-8000-B78FE13B63C6}"/>
    <hyperlink ref="A49" r:id="rId3" tooltip="Admission Statistics for Wisconsin Colleges" display="https://www.univstats.com/states/wisconsin" xr:uid="{D46ED523-77CD-9048-BDC1-D844B99B472F}"/>
    <hyperlink ref="A48" r:id="rId4" tooltip="Admission Statistics for Washington Colleges" display="https://www.univstats.com/states/washington" xr:uid="{34D7092E-5A78-A843-9B0F-27E1917B30B3}"/>
    <hyperlink ref="A47" r:id="rId5" tooltip="Admission Statistics for Vermont Colleges" display="https://www.univstats.com/states/vermont" xr:uid="{672EF965-FC61-BA45-B1C7-DA819920B72B}"/>
    <hyperlink ref="A46" r:id="rId6" tooltip="Admission Statistics for Virginia Colleges" display="https://www.univstats.com/states/virginia" xr:uid="{47FE3C5D-5C3D-5840-9920-511E2BCA8113}"/>
    <hyperlink ref="A45" r:id="rId7" tooltip="Admission Statistics for Utah Colleges" display="https://www.univstats.com/states/utah" xr:uid="{1A2431DF-9C77-E94B-9AC9-FD4D199074F3}"/>
    <hyperlink ref="A44" r:id="rId8" tooltip="Admission Statistics for Texas Colleges" display="https://www.univstats.com/states/texas" xr:uid="{CCFBE709-F620-F747-9F0C-D891CFAF20C8}"/>
    <hyperlink ref="A43" r:id="rId9" tooltip="Admission Statistics for Tennessee Colleges" display="https://www.univstats.com/states/tennessee" xr:uid="{34B9401B-7038-D64D-95B8-4FCFB0D8CA6A}"/>
    <hyperlink ref="A42" r:id="rId10" tooltip="Admission Statistics for South Dakota Colleges" display="https://www.univstats.com/states/south-dakota" xr:uid="{2EFB424D-6221-E24C-BCEB-65FE6F135EA8}"/>
    <hyperlink ref="A41" r:id="rId11" tooltip="Admission Statistics for South Carolina Colleges" display="https://www.univstats.com/states/south-carolina" xr:uid="{E4CB3B21-9B40-924B-BC28-825346EAAC4B}"/>
    <hyperlink ref="A40" r:id="rId12" tooltip="Admission Statistics for Rhode Island Colleges" display="https://www.univstats.com/states/rhode-island" xr:uid="{46A7FC37-E5CE-6A40-8FD2-725E47E9B411}"/>
    <hyperlink ref="A39" r:id="rId13" tooltip="Admission Statistics for Pennsylvania Colleges" display="https://www.univstats.com/states/pennsylvania" xr:uid="{C4DE7035-E7C7-084F-9147-C5B802487B33}"/>
    <hyperlink ref="A38" r:id="rId14" tooltip="Admission Statistics for Oregon Colleges" display="https://www.univstats.com/states/oregon" xr:uid="{A59C188A-6A9F-A841-9262-8470EA298B03}"/>
    <hyperlink ref="A37" r:id="rId15" tooltip="Admission Statistics for Oklahoma Colleges" display="https://www.univstats.com/states/oklahoma" xr:uid="{7684E7A6-1DB6-1445-BF66-063FF6407E0B}"/>
    <hyperlink ref="A36" r:id="rId16" tooltip="Admission Statistics for Ohio Colleges" display="https://www.univstats.com/states/ohio" xr:uid="{DF49A5E4-1D89-F54C-8E2F-CBC5730F3756}"/>
    <hyperlink ref="A35" r:id="rId17" tooltip="Admission Statistics for New York Colleges" display="https://www.univstats.com/states/new-york" xr:uid="{EBEFE69F-F1AD-E34C-9F77-B51087A797D5}"/>
    <hyperlink ref="A34" r:id="rId18" tooltip="Admission Statistics for Nevada Colleges" display="https://www.univstats.com/states/nevada" xr:uid="{7E6E95D5-D168-C142-A791-32A8F673B128}"/>
    <hyperlink ref="A33" r:id="rId19" tooltip="Admission Statistics for New Mexico Colleges" display="https://www.univstats.com/states/new-mexico" xr:uid="{802D8B42-70D1-814B-9AD0-EFCAFBC2B30B}"/>
    <hyperlink ref="A32" r:id="rId20" tooltip="Admission Statistics for New Jersey Colleges" display="https://www.univstats.com/states/new-jersey" xr:uid="{2DEA0FC9-EE12-B049-A364-CF87462669FF}"/>
    <hyperlink ref="A31" r:id="rId21" tooltip="Admission Statistics for New Hampshire Colleges" display="https://www.univstats.com/states/new-hampshire" xr:uid="{85108D10-9E37-D147-92AB-DCF212424C6E}"/>
    <hyperlink ref="A30" r:id="rId22" tooltip="Admission Statistics for Nebraska Colleges" display="https://www.univstats.com/states/nebraska" xr:uid="{6E5C0A31-EA46-9243-AD07-30ADB737AF70}"/>
    <hyperlink ref="A29" r:id="rId23" tooltip="Admission Statistics for North Dakota Colleges" display="https://www.univstats.com/states/north-dakota" xr:uid="{7574D0FD-5822-714E-BBB7-0C6A9C7EE31E}"/>
    <hyperlink ref="A28" r:id="rId24" tooltip="Admission Statistics for North Carolina Colleges" display="https://www.univstats.com/states/north-carolina" xr:uid="{B30C3C02-B4F1-3348-AD0E-172274B2E394}"/>
    <hyperlink ref="A27" r:id="rId25" tooltip="Admission Statistics for Montana Colleges" display="https://www.univstats.com/states/montana" xr:uid="{6F1AF2F3-E959-F142-AC00-A3EFB7F17D03}"/>
    <hyperlink ref="A26" r:id="rId26" tooltip="Admission Statistics for Mississippi Colleges" display="https://www.univstats.com/states/mississippi" xr:uid="{56517A67-37AC-8743-84CD-B74BC47423CA}"/>
    <hyperlink ref="A25" r:id="rId27" tooltip="Admission Statistics for Missouri Colleges" display="https://www.univstats.com/states/missouri" xr:uid="{5F6B6B36-09FC-DD4E-8510-8EAABBD80DB7}"/>
    <hyperlink ref="A24" r:id="rId28" tooltip="Admission Statistics for Minnesota Colleges" display="https://www.univstats.com/states/minnesota" xr:uid="{3C5C2084-7961-BF42-B6E7-A5D1F3150660}"/>
    <hyperlink ref="A23" r:id="rId29" tooltip="Admission Statistics for Michigan Colleges" display="https://www.univstats.com/states/michigan" xr:uid="{513F1988-BB10-6046-B44C-CADE1C8F6C01}"/>
    <hyperlink ref="A22" r:id="rId30" tooltip="Admission Statistics for Maine Colleges" display="https://www.univstats.com/states/maine" xr:uid="{CF0BFA2B-3D29-E241-9800-3AC23307B52F}"/>
    <hyperlink ref="A21" r:id="rId31" tooltip="Admission Statistics for Maryland Colleges" display="https://www.univstats.com/states/maryland" xr:uid="{39A29489-F5D8-0F4D-9F1A-3E3966266EF5}"/>
    <hyperlink ref="A20" r:id="rId32" tooltip="Admission Statistics for Massachusetts Colleges" display="https://www.univstats.com/states/massachusetts" xr:uid="{B8D1CB2F-A9FC-E443-96F4-CE5C5C556406}"/>
    <hyperlink ref="A19" r:id="rId33" tooltip="Admission Statistics for Louisiana Colleges" display="https://www.univstats.com/states/louisiana" xr:uid="{05A5CE94-1F8A-4D47-ACCC-72E7EC669477}"/>
    <hyperlink ref="A18" r:id="rId34" tooltip="Admission Statistics for Kentucky Colleges" display="https://www.univstats.com/states/kentucky" xr:uid="{1408B4D5-D686-7446-A692-A733FCCA021D}"/>
    <hyperlink ref="A17" r:id="rId35" tooltip="Admission Statistics for Kansas Colleges" display="https://www.univstats.com/states/kansas" xr:uid="{FEB8DFC1-6012-B74B-92C6-2574E6C08543}"/>
    <hyperlink ref="A16" r:id="rId36" tooltip="Admission Statistics for Indiana Colleges" display="https://www.univstats.com/states/indiana" xr:uid="{B3E6FB4F-365A-284A-992C-5297D29A43AB}"/>
    <hyperlink ref="A15" r:id="rId37" tooltip="Admission Statistics for Illinois Colleges" display="https://www.univstats.com/states/illinois" xr:uid="{A40163B7-A999-8542-9824-B74AF9FA55AA}"/>
    <hyperlink ref="A14" r:id="rId38" tooltip="Admission Statistics for Idaho Colleges" display="https://www.univstats.com/states/idaho" xr:uid="{C3A62FD2-E95A-AF4B-BCE8-A4DBB6045D3A}"/>
    <hyperlink ref="A13" r:id="rId39" tooltip="Admission Statistics for Iowa Colleges" display="https://www.univstats.com/states/iowa" xr:uid="{8E6D4C85-5E4C-FF47-9427-DB59E7030AE0}"/>
    <hyperlink ref="A12" r:id="rId40" tooltip="Admission Statistics for Hawaii Colleges" display="https://www.univstats.com/states/hawaii" xr:uid="{618AB0D9-3F96-3342-BEAB-BF9177776627}"/>
    <hyperlink ref="A11" r:id="rId41" tooltip="Admission Statistics for Georgia Colleges" display="https://www.univstats.com/states/georgia" xr:uid="{0226A49F-A572-4E4E-9623-35D67F08CF29}"/>
    <hyperlink ref="A10" r:id="rId42" tooltip="Admission Statistics for Florida Colleges" display="https://www.univstats.com/states/florida" xr:uid="{A7B1F6B6-D2E9-2A48-9E93-7E382C761018}"/>
    <hyperlink ref="A9" r:id="rId43" tooltip="Admission Statistics for Delaware Colleges" display="https://www.univstats.com/states/delaware" xr:uid="{C337BF96-9C4E-4448-ABA8-41E2DC7CD4DE}"/>
    <hyperlink ref="A8" r:id="rId44" tooltip="Admission Statistics for Connecticut Colleges" display="https://www.univstats.com/states/connecticut" xr:uid="{EF8726EF-AF7A-4F4D-A85B-BF754CE4D559}"/>
    <hyperlink ref="A7" r:id="rId45" tooltip="Admission Statistics for Colorado Colleges" display="https://www.univstats.com/states/colorado" xr:uid="{4B073A4B-DD5E-824C-B28D-44307C254BA0}"/>
    <hyperlink ref="A6" r:id="rId46" tooltip="Admission Statistics for California Colleges" display="https://www.univstats.com/states/california" xr:uid="{CEBA761B-D95D-6645-93A5-82BA81804B37}"/>
    <hyperlink ref="A5" r:id="rId47" tooltip="Admission Statistics for Arizona Colleges" display="https://www.univstats.com/states/arizona" xr:uid="{C75CFCE0-6A7D-804D-9928-DC97F099F227}"/>
    <hyperlink ref="A4" r:id="rId48" tooltip="Admission Statistics for Arkansas Colleges" display="https://www.univstats.com/states/arkansas" xr:uid="{26ACC8CD-3403-1542-84F1-6C223D5C2719}"/>
    <hyperlink ref="A3" r:id="rId49" tooltip="Admission Statistics for Alabama Colleges" display="https://www.univstats.com/states/alabama" xr:uid="{00C5A8D4-FEA0-5541-9A86-0B03659C1BEA}"/>
    <hyperlink ref="A2" r:id="rId50" tooltip="Admission Statistics for Alaska Colleges" display="https://www.univstats.com/states/alaska" xr:uid="{50D62A55-418A-FE4E-AA12-94A4616A4660}"/>
  </hyperlinks>
  <pageMargins left="0.7" right="0.7" top="0.75" bottom="0.75" header="0.3" footer="0.3"/>
  <pageSetup orientation="portrait" r:id="rId51"/>
  <drawing r:id="rId52"/>
  <legacyDrawing r:id="rId53"/>
  <mc:AlternateContent xmlns:mc="http://schemas.openxmlformats.org/markup-compatibility/2006">
    <mc:Choice Requires="x14">
      <controls>
        <mc:AlternateContent xmlns:mc="http://schemas.openxmlformats.org/markup-compatibility/2006">
          <mc:Choice Requires="x14">
            <control shapeId="17409" r:id="rId54" name="Button 1">
              <controlPr defaultSize="0" print="0" autoFill="0" autoPict="0" macro="[0]!Dashboard">
                <anchor moveWithCells="1" sizeWithCells="1">
                  <from>
                    <xdr:col>9</xdr:col>
                    <xdr:colOff>581025</xdr:colOff>
                    <xdr:row>1</xdr:row>
                    <xdr:rowOff>219075</xdr:rowOff>
                  </from>
                  <to>
                    <xdr:col>13</xdr:col>
                    <xdr:colOff>581025</xdr:colOff>
                    <xdr:row>5</xdr:row>
                    <xdr:rowOff>0</xdr:rowOff>
                  </to>
                </anchor>
              </controlPr>
            </control>
          </mc:Choice>
        </mc:AlternateContent>
      </controls>
    </mc:Choice>
  </mc:AlternateContent>
  <tableParts count="1">
    <tablePart r:id="rId5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90AEE4-3A15-FB4B-9E1A-E49E4C5FF0DE}">
  <sheetPr codeName="Sheet4">
    <tabColor rgb="FFFF0000"/>
  </sheetPr>
  <dimension ref="A1:I51"/>
  <sheetViews>
    <sheetView workbookViewId="0"/>
  </sheetViews>
  <sheetFormatPr defaultColWidth="11.42578125" defaultRowHeight="15" x14ac:dyDescent="0.25"/>
  <cols>
    <col min="1" max="1" width="15.28515625" bestFit="1" customWidth="1"/>
    <col min="2" max="2" width="13.85546875" bestFit="1" customWidth="1"/>
    <col min="3" max="3" width="38.85546875" bestFit="1" customWidth="1"/>
  </cols>
  <sheetData>
    <row r="1" spans="1:9" ht="15.75" x14ac:dyDescent="0.25">
      <c r="A1" s="2" t="s">
        <v>7</v>
      </c>
      <c r="B1" s="4" t="s">
        <v>110</v>
      </c>
      <c r="C1" s="2" t="s">
        <v>266</v>
      </c>
    </row>
    <row r="2" spans="1:9" ht="15.75" x14ac:dyDescent="0.25">
      <c r="A2" s="8" t="s">
        <v>11</v>
      </c>
      <c r="B2" t="s">
        <v>10</v>
      </c>
      <c r="C2" s="7">
        <v>45673</v>
      </c>
    </row>
    <row r="3" spans="1:9" ht="15.75" x14ac:dyDescent="0.25">
      <c r="A3" s="8" t="s">
        <v>13</v>
      </c>
      <c r="B3" t="s">
        <v>12</v>
      </c>
      <c r="C3" s="7">
        <v>9975</v>
      </c>
    </row>
    <row r="4" spans="1:9" ht="15.75" x14ac:dyDescent="0.25">
      <c r="A4" s="8" t="s">
        <v>15</v>
      </c>
      <c r="B4" t="s">
        <v>14</v>
      </c>
      <c r="C4" s="7">
        <v>64980</v>
      </c>
    </row>
    <row r="5" spans="1:9" ht="15.75" x14ac:dyDescent="0.25">
      <c r="A5" s="8" t="s">
        <v>17</v>
      </c>
      <c r="B5" t="s">
        <v>16</v>
      </c>
      <c r="C5" s="7">
        <v>28300</v>
      </c>
    </row>
    <row r="6" spans="1:9" ht="15.75" x14ac:dyDescent="0.25">
      <c r="A6" s="8" t="s">
        <v>19</v>
      </c>
      <c r="B6" t="s">
        <v>18</v>
      </c>
      <c r="C6" s="7">
        <v>405451</v>
      </c>
    </row>
    <row r="7" spans="1:9" ht="18.75" x14ac:dyDescent="0.3">
      <c r="A7" s="8" t="s">
        <v>21</v>
      </c>
      <c r="B7" t="s">
        <v>20</v>
      </c>
      <c r="C7" s="7">
        <v>49849</v>
      </c>
      <c r="E7" s="72" t="s">
        <v>345</v>
      </c>
      <c r="F7" s="72"/>
      <c r="G7" s="72"/>
      <c r="H7" s="72"/>
      <c r="I7" s="72"/>
    </row>
    <row r="8" spans="1:9" ht="18.75" x14ac:dyDescent="0.3">
      <c r="A8" s="8" t="s">
        <v>23</v>
      </c>
      <c r="B8" t="s">
        <v>22</v>
      </c>
      <c r="C8" s="7">
        <v>44425</v>
      </c>
      <c r="E8" s="72" t="s">
        <v>346</v>
      </c>
      <c r="F8" s="72"/>
      <c r="G8" s="72"/>
      <c r="H8" s="72"/>
      <c r="I8" s="72"/>
    </row>
    <row r="9" spans="1:9" ht="15.75" x14ac:dyDescent="0.25">
      <c r="A9" s="8" t="s">
        <v>25</v>
      </c>
      <c r="B9" t="s">
        <v>24</v>
      </c>
      <c r="C9" s="7">
        <v>12729</v>
      </c>
    </row>
    <row r="10" spans="1:9" ht="15.75" x14ac:dyDescent="0.25">
      <c r="A10" s="8" t="s">
        <v>27</v>
      </c>
      <c r="B10" t="s">
        <v>26</v>
      </c>
      <c r="C10" s="7">
        <v>214408</v>
      </c>
    </row>
    <row r="11" spans="1:9" ht="15.75" x14ac:dyDescent="0.25">
      <c r="A11" s="8" t="s">
        <v>29</v>
      </c>
      <c r="B11" t="s">
        <v>28</v>
      </c>
      <c r="C11" s="7">
        <v>93803</v>
      </c>
    </row>
    <row r="12" spans="1:9" ht="15.75" x14ac:dyDescent="0.25">
      <c r="A12" s="8" t="s">
        <v>31</v>
      </c>
      <c r="B12" t="s">
        <v>30</v>
      </c>
      <c r="C12" s="7">
        <v>14480</v>
      </c>
    </row>
    <row r="13" spans="1:9" ht="15.75" x14ac:dyDescent="0.25">
      <c r="A13" s="8" t="s">
        <v>33</v>
      </c>
      <c r="B13" t="s">
        <v>32</v>
      </c>
      <c r="C13" s="7">
        <v>14886</v>
      </c>
    </row>
    <row r="14" spans="1:9" ht="15.75" x14ac:dyDescent="0.25">
      <c r="A14" s="8" t="s">
        <v>35</v>
      </c>
      <c r="B14" t="s">
        <v>34</v>
      </c>
      <c r="C14" s="7">
        <v>128263</v>
      </c>
    </row>
    <row r="15" spans="1:9" ht="15.75" x14ac:dyDescent="0.25">
      <c r="A15" s="8" t="s">
        <v>37</v>
      </c>
      <c r="B15" t="s">
        <v>36</v>
      </c>
      <c r="C15" s="7">
        <v>71040</v>
      </c>
    </row>
    <row r="16" spans="1:9" ht="15.75" x14ac:dyDescent="0.25">
      <c r="A16" s="8" t="s">
        <v>39</v>
      </c>
      <c r="B16" t="s">
        <v>38</v>
      </c>
      <c r="C16" s="7">
        <v>30968</v>
      </c>
    </row>
    <row r="17" spans="1:3" ht="15.75" x14ac:dyDescent="0.25">
      <c r="A17" s="8" t="s">
        <v>41</v>
      </c>
      <c r="B17" t="s">
        <v>40</v>
      </c>
      <c r="C17" s="7">
        <v>27414</v>
      </c>
    </row>
    <row r="18" spans="1:3" ht="15.75" x14ac:dyDescent="0.25">
      <c r="A18" s="8" t="s">
        <v>43</v>
      </c>
      <c r="B18" t="s">
        <v>42</v>
      </c>
      <c r="C18" s="7">
        <v>45922</v>
      </c>
    </row>
    <row r="19" spans="1:3" ht="15.75" x14ac:dyDescent="0.25">
      <c r="A19" s="8" t="s">
        <v>45</v>
      </c>
      <c r="B19" t="s">
        <v>44</v>
      </c>
      <c r="C19" s="7">
        <v>48845</v>
      </c>
    </row>
    <row r="20" spans="1:3" ht="15.75" x14ac:dyDescent="0.25">
      <c r="A20" s="8" t="s">
        <v>47</v>
      </c>
      <c r="B20" t="s">
        <v>46</v>
      </c>
      <c r="C20" s="7">
        <v>16306</v>
      </c>
    </row>
    <row r="21" spans="1:3" ht="15.75" x14ac:dyDescent="0.25">
      <c r="A21" s="8" t="s">
        <v>49</v>
      </c>
      <c r="B21" t="s">
        <v>48</v>
      </c>
      <c r="C21" s="7">
        <v>65641</v>
      </c>
    </row>
    <row r="22" spans="1:3" ht="15.75" x14ac:dyDescent="0.25">
      <c r="A22" s="8" t="s">
        <v>51</v>
      </c>
      <c r="B22" t="s">
        <v>50</v>
      </c>
      <c r="C22" s="7">
        <v>91817</v>
      </c>
    </row>
    <row r="23" spans="1:3" ht="15.75" x14ac:dyDescent="0.25">
      <c r="A23" s="8" t="s">
        <v>53</v>
      </c>
      <c r="B23" t="s">
        <v>52</v>
      </c>
      <c r="C23" s="7">
        <v>98638</v>
      </c>
    </row>
    <row r="24" spans="1:3" ht="15.75" x14ac:dyDescent="0.25">
      <c r="A24" s="8" t="s">
        <v>55</v>
      </c>
      <c r="B24" t="s">
        <v>54</v>
      </c>
      <c r="C24" s="7">
        <v>61357</v>
      </c>
    </row>
    <row r="25" spans="1:3" ht="15.75" x14ac:dyDescent="0.25">
      <c r="A25" s="8" t="s">
        <v>57</v>
      </c>
      <c r="B25" t="s">
        <v>56</v>
      </c>
      <c r="C25" s="7">
        <v>27870</v>
      </c>
    </row>
    <row r="26" spans="1:3" ht="15.75" x14ac:dyDescent="0.25">
      <c r="A26" s="8" t="s">
        <v>59</v>
      </c>
      <c r="B26" t="s">
        <v>58</v>
      </c>
      <c r="C26" s="7">
        <v>61031</v>
      </c>
    </row>
    <row r="27" spans="1:3" ht="15.75" x14ac:dyDescent="0.25">
      <c r="A27" s="8" t="s">
        <v>61</v>
      </c>
      <c r="B27" t="s">
        <v>60</v>
      </c>
      <c r="C27" s="7">
        <v>11035</v>
      </c>
    </row>
    <row r="28" spans="1:3" ht="15.75" x14ac:dyDescent="0.25">
      <c r="A28" s="8" t="s">
        <v>63</v>
      </c>
      <c r="B28" t="s">
        <v>62</v>
      </c>
      <c r="C28" s="7">
        <v>20371</v>
      </c>
    </row>
    <row r="29" spans="1:3" ht="15.75" x14ac:dyDescent="0.25">
      <c r="A29" s="8" t="s">
        <v>65</v>
      </c>
      <c r="B29" t="s">
        <v>64</v>
      </c>
      <c r="C29" s="7">
        <v>26200</v>
      </c>
    </row>
    <row r="30" spans="1:3" ht="15.75" x14ac:dyDescent="0.25">
      <c r="A30" s="8" t="s">
        <v>67</v>
      </c>
      <c r="B30" t="s">
        <v>66</v>
      </c>
      <c r="C30" s="7">
        <v>16113</v>
      </c>
    </row>
    <row r="31" spans="1:3" ht="15.75" x14ac:dyDescent="0.25">
      <c r="A31" s="8" t="s">
        <v>69</v>
      </c>
      <c r="B31" t="s">
        <v>68</v>
      </c>
      <c r="C31" s="7">
        <v>105416</v>
      </c>
    </row>
    <row r="32" spans="1:3" ht="15.75" x14ac:dyDescent="0.25">
      <c r="A32" s="8" t="s">
        <v>71</v>
      </c>
      <c r="B32" t="s">
        <v>70</v>
      </c>
      <c r="C32" s="7">
        <v>18750</v>
      </c>
    </row>
    <row r="33" spans="1:3" ht="15.75" x14ac:dyDescent="0.25">
      <c r="A33" s="8" t="s">
        <v>73</v>
      </c>
      <c r="B33" t="s">
        <v>72</v>
      </c>
      <c r="C33" s="7">
        <v>270847</v>
      </c>
    </row>
    <row r="34" spans="1:3" ht="15.75" x14ac:dyDescent="0.25">
      <c r="A34" s="8" t="s">
        <v>75</v>
      </c>
      <c r="B34" t="s">
        <v>74</v>
      </c>
      <c r="C34" s="7">
        <v>94532</v>
      </c>
    </row>
    <row r="35" spans="1:3" ht="15.75" x14ac:dyDescent="0.25">
      <c r="A35" s="8" t="s">
        <v>77</v>
      </c>
      <c r="B35" t="s">
        <v>76</v>
      </c>
      <c r="C35" s="7">
        <v>8649</v>
      </c>
    </row>
    <row r="36" spans="1:3" ht="15.75" x14ac:dyDescent="0.25">
      <c r="A36" s="8" t="s">
        <v>79</v>
      </c>
      <c r="B36" t="s">
        <v>78</v>
      </c>
      <c r="C36" s="7">
        <v>122521</v>
      </c>
    </row>
    <row r="37" spans="1:3" ht="15.75" x14ac:dyDescent="0.25">
      <c r="A37" s="8" t="s">
        <v>81</v>
      </c>
      <c r="B37" t="s">
        <v>80</v>
      </c>
      <c r="C37" s="7">
        <v>37595</v>
      </c>
    </row>
    <row r="38" spans="1:3" ht="15.75" x14ac:dyDescent="0.25">
      <c r="A38" s="8" t="s">
        <v>83</v>
      </c>
      <c r="B38" t="s">
        <v>82</v>
      </c>
      <c r="C38" s="7">
        <v>42716</v>
      </c>
    </row>
    <row r="39" spans="1:3" ht="15.75" x14ac:dyDescent="0.25">
      <c r="A39" s="8" t="s">
        <v>85</v>
      </c>
      <c r="B39" t="s">
        <v>84</v>
      </c>
      <c r="C39" s="7">
        <v>148327</v>
      </c>
    </row>
    <row r="40" spans="1:3" ht="15.75" x14ac:dyDescent="0.25">
      <c r="A40" s="8" t="s">
        <v>87</v>
      </c>
      <c r="B40" t="s">
        <v>86</v>
      </c>
      <c r="C40" s="7">
        <v>12362</v>
      </c>
    </row>
    <row r="41" spans="1:3" ht="15.75" x14ac:dyDescent="0.25">
      <c r="A41" s="8" t="s">
        <v>89</v>
      </c>
      <c r="B41" t="s">
        <v>88</v>
      </c>
      <c r="C41" s="7">
        <v>45742</v>
      </c>
    </row>
    <row r="42" spans="1:3" ht="15.75" x14ac:dyDescent="0.25">
      <c r="A42" s="8" t="s">
        <v>91</v>
      </c>
      <c r="B42" t="s">
        <v>90</v>
      </c>
      <c r="C42" s="7">
        <v>11154</v>
      </c>
    </row>
    <row r="43" spans="1:3" ht="15.75" x14ac:dyDescent="0.25">
      <c r="A43" s="8" t="s">
        <v>93</v>
      </c>
      <c r="B43" t="s">
        <v>92</v>
      </c>
      <c r="C43" s="7">
        <v>64295</v>
      </c>
    </row>
    <row r="44" spans="1:3" ht="15.75" x14ac:dyDescent="0.25">
      <c r="A44" s="8" t="s">
        <v>95</v>
      </c>
      <c r="B44" t="s">
        <v>94</v>
      </c>
      <c r="C44" s="7">
        <v>246812</v>
      </c>
    </row>
    <row r="45" spans="1:3" ht="15.75" x14ac:dyDescent="0.25">
      <c r="A45" s="8" t="s">
        <v>97</v>
      </c>
      <c r="B45" t="s">
        <v>96</v>
      </c>
      <c r="C45" s="7">
        <v>24447</v>
      </c>
    </row>
    <row r="46" spans="1:3" ht="15.75" x14ac:dyDescent="0.25">
      <c r="A46" s="8" t="s">
        <v>99</v>
      </c>
      <c r="B46" t="s">
        <v>98</v>
      </c>
      <c r="C46" s="7">
        <v>7951</v>
      </c>
    </row>
    <row r="47" spans="1:3" ht="15.75" x14ac:dyDescent="0.25">
      <c r="A47" s="8" t="s">
        <v>101</v>
      </c>
      <c r="B47" t="s">
        <v>100</v>
      </c>
      <c r="C47" s="7">
        <v>78989</v>
      </c>
    </row>
    <row r="48" spans="1:3" ht="15.75" x14ac:dyDescent="0.25">
      <c r="A48" s="8" t="s">
        <v>103</v>
      </c>
      <c r="B48" t="s">
        <v>102</v>
      </c>
      <c r="C48" s="7">
        <v>71277</v>
      </c>
    </row>
    <row r="49" spans="1:3" ht="15.75" x14ac:dyDescent="0.25">
      <c r="A49" s="8" t="s">
        <v>105</v>
      </c>
      <c r="B49" t="s">
        <v>104</v>
      </c>
      <c r="C49" s="7">
        <v>22790</v>
      </c>
    </row>
    <row r="50" spans="1:3" ht="15.75" x14ac:dyDescent="0.25">
      <c r="A50" s="8" t="s">
        <v>107</v>
      </c>
      <c r="B50" t="s">
        <v>106</v>
      </c>
      <c r="C50" s="7">
        <v>58220</v>
      </c>
    </row>
    <row r="51" spans="1:3" ht="15.75" x14ac:dyDescent="0.25">
      <c r="A51" s="8" t="s">
        <v>109</v>
      </c>
      <c r="B51" t="s">
        <v>108</v>
      </c>
      <c r="C51" s="7">
        <v>6399</v>
      </c>
    </row>
  </sheetData>
  <mergeCells count="2">
    <mergeCell ref="E7:I7"/>
    <mergeCell ref="E8:I8"/>
  </mergeCells>
  <conditionalFormatting sqref="C2:C51">
    <cfRule type="top10" dxfId="98" priority="2" rank="3"/>
    <cfRule type="top10" dxfId="97" priority="1" bottom="1" rank="3"/>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Dashboard">
                <anchor moveWithCells="1" sizeWithCells="1">
                  <from>
                    <xdr:col>4</xdr:col>
                    <xdr:colOff>9525</xdr:colOff>
                    <xdr:row>0</xdr:row>
                    <xdr:rowOff>200025</xdr:rowOff>
                  </from>
                  <to>
                    <xdr:col>7</xdr:col>
                    <xdr:colOff>9525</xdr:colOff>
                    <xdr:row>5</xdr:row>
                    <xdr:rowOff>19050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299ED-54C9-4EB7-88B2-5D6C74A47882}">
  <sheetPr codeName="Sheet5">
    <tabColor rgb="FF0070C0"/>
  </sheetPr>
  <dimension ref="A1:L51"/>
  <sheetViews>
    <sheetView zoomScale="90" zoomScaleNormal="90" workbookViewId="0">
      <selection activeCell="L16" sqref="L16"/>
    </sheetView>
  </sheetViews>
  <sheetFormatPr defaultColWidth="11.42578125" defaultRowHeight="15" x14ac:dyDescent="0.25"/>
  <cols>
    <col min="1" max="1" width="17.42578125" bestFit="1" customWidth="1"/>
    <col min="2" max="2" width="14.28515625" bestFit="1" customWidth="1"/>
    <col min="3" max="3" width="19.140625" bestFit="1" customWidth="1"/>
    <col min="4" max="4" width="19.42578125" bestFit="1" customWidth="1"/>
    <col min="5" max="5" width="24.7109375" bestFit="1" customWidth="1"/>
    <col min="6" max="6" width="18.7109375" bestFit="1" customWidth="1"/>
    <col min="7" max="7" width="23.140625" bestFit="1" customWidth="1"/>
    <col min="8" max="8" width="23.42578125" bestFit="1" customWidth="1"/>
    <col min="9" max="9" width="27.85546875" bestFit="1" customWidth="1"/>
    <col min="11" max="11" width="13.28515625" bestFit="1" customWidth="1"/>
    <col min="12" max="13" width="26" bestFit="1" customWidth="1"/>
    <col min="14" max="14" width="17.42578125" bestFit="1" customWidth="1"/>
    <col min="15" max="41" width="7.28515625" bestFit="1" customWidth="1"/>
    <col min="42" max="42" width="7.7109375" bestFit="1" customWidth="1"/>
    <col min="43" max="45" width="7.28515625" bestFit="1" customWidth="1"/>
    <col min="46" max="46" width="7.7109375" bestFit="1" customWidth="1"/>
    <col min="47" max="60" width="7.28515625" bestFit="1" customWidth="1"/>
    <col min="61" max="61" width="25.7109375" bestFit="1" customWidth="1"/>
    <col min="62" max="62" width="7.7109375" bestFit="1" customWidth="1"/>
    <col min="63" max="64" width="7.28515625" bestFit="1" customWidth="1"/>
    <col min="65" max="65" width="7.7109375" bestFit="1" customWidth="1"/>
    <col min="66" max="67" width="7.28515625" bestFit="1" customWidth="1"/>
    <col min="68" max="68" width="7.7109375" bestFit="1" customWidth="1"/>
    <col min="69" max="69" width="7.28515625" bestFit="1" customWidth="1"/>
    <col min="70" max="73" width="7.7109375" bestFit="1" customWidth="1"/>
    <col min="74" max="74" width="7.28515625" bestFit="1" customWidth="1"/>
    <col min="75" max="82" width="7.7109375" bestFit="1" customWidth="1"/>
    <col min="83" max="83" width="7.28515625" bestFit="1" customWidth="1"/>
    <col min="84" max="84" width="7.7109375" bestFit="1" customWidth="1"/>
    <col min="85" max="85" width="7.28515625" bestFit="1" customWidth="1"/>
    <col min="86" max="88" width="7.7109375" bestFit="1" customWidth="1"/>
    <col min="89" max="90" width="7.28515625" bestFit="1" customWidth="1"/>
    <col min="91" max="91" width="8.85546875" bestFit="1" customWidth="1"/>
    <col min="92" max="94" width="7.7109375" bestFit="1" customWidth="1"/>
    <col min="95" max="95" width="8.85546875" bestFit="1" customWidth="1"/>
    <col min="96" max="96" width="7.7109375" bestFit="1" customWidth="1"/>
    <col min="97" max="97" width="7.28515625" bestFit="1" customWidth="1"/>
    <col min="98" max="98" width="7.7109375" bestFit="1" customWidth="1"/>
    <col min="99" max="99" width="7.28515625" bestFit="1" customWidth="1"/>
    <col min="100" max="109" width="7.7109375" bestFit="1" customWidth="1"/>
    <col min="110" max="110" width="26.140625" bestFit="1" customWidth="1"/>
    <col min="111" max="111" width="30.7109375" bestFit="1" customWidth="1"/>
  </cols>
  <sheetData>
    <row r="1" spans="1:12" ht="15.75" x14ac:dyDescent="0.25">
      <c r="A1" s="2" t="s">
        <v>267</v>
      </c>
      <c r="B1" s="4" t="s">
        <v>110</v>
      </c>
      <c r="C1" s="2" t="s">
        <v>268</v>
      </c>
      <c r="D1" s="2" t="s">
        <v>269</v>
      </c>
      <c r="E1" s="2" t="s">
        <v>270</v>
      </c>
      <c r="F1" s="2" t="s">
        <v>271</v>
      </c>
      <c r="G1" s="2" t="s">
        <v>272</v>
      </c>
      <c r="H1" s="2" t="s">
        <v>273</v>
      </c>
      <c r="I1" s="2" t="s">
        <v>274</v>
      </c>
    </row>
    <row r="2" spans="1:12" ht="15.75" x14ac:dyDescent="0.25">
      <c r="A2" s="2" t="s">
        <v>11</v>
      </c>
      <c r="B2" t="s">
        <v>10</v>
      </c>
      <c r="C2" s="2">
        <v>4921532</v>
      </c>
      <c r="D2" s="2">
        <v>26596</v>
      </c>
      <c r="E2" s="2">
        <v>4727</v>
      </c>
      <c r="F2" s="2">
        <v>22322</v>
      </c>
      <c r="G2" s="2">
        <v>453.56</v>
      </c>
      <c r="H2" s="2">
        <v>210322</v>
      </c>
      <c r="I2" s="2">
        <v>4274</v>
      </c>
    </row>
    <row r="3" spans="1:12" ht="15.75" x14ac:dyDescent="0.25">
      <c r="A3" s="2" t="s">
        <v>13</v>
      </c>
      <c r="B3" t="s">
        <v>12</v>
      </c>
      <c r="C3" s="2">
        <v>731158</v>
      </c>
      <c r="D3" s="2">
        <v>10647</v>
      </c>
      <c r="E3" s="2">
        <v>5359</v>
      </c>
      <c r="F3" s="2">
        <v>6126</v>
      </c>
      <c r="G3" s="2">
        <v>837.85</v>
      </c>
      <c r="H3" s="2">
        <v>33056</v>
      </c>
      <c r="I3" s="2">
        <v>4521</v>
      </c>
    </row>
    <row r="4" spans="1:12" ht="15.75" x14ac:dyDescent="0.25">
      <c r="A4" s="2" t="s">
        <v>15</v>
      </c>
      <c r="B4" t="s">
        <v>14</v>
      </c>
      <c r="C4" s="2">
        <v>7421401</v>
      </c>
      <c r="D4" s="2">
        <v>40435</v>
      </c>
      <c r="E4" s="2">
        <v>4940</v>
      </c>
      <c r="F4" s="2">
        <v>35980</v>
      </c>
      <c r="G4" s="2">
        <v>484.81</v>
      </c>
      <c r="H4" s="2">
        <v>330646</v>
      </c>
      <c r="I4" s="2">
        <v>4455</v>
      </c>
    </row>
    <row r="5" spans="1:12" ht="15.75" x14ac:dyDescent="0.25">
      <c r="A5" s="2" t="s">
        <v>17</v>
      </c>
      <c r="B5" t="s">
        <v>16</v>
      </c>
      <c r="C5" s="2">
        <v>3030522</v>
      </c>
      <c r="D5" s="2">
        <v>25590</v>
      </c>
      <c r="E5" s="2">
        <v>5899</v>
      </c>
      <c r="F5" s="2">
        <v>20363</v>
      </c>
      <c r="G5" s="2">
        <v>671.93</v>
      </c>
      <c r="H5" s="2">
        <v>158400</v>
      </c>
      <c r="I5" s="2">
        <v>5227</v>
      </c>
    </row>
    <row r="6" spans="1:12" ht="15.75" x14ac:dyDescent="0.25">
      <c r="A6" s="2" t="s">
        <v>19</v>
      </c>
      <c r="B6" t="s">
        <v>18</v>
      </c>
      <c r="C6" s="2">
        <v>39368078</v>
      </c>
      <c r="D6" s="2">
        <v>178304</v>
      </c>
      <c r="E6" s="2">
        <v>4720</v>
      </c>
      <c r="F6" s="2">
        <v>174026</v>
      </c>
      <c r="G6" s="2">
        <v>442.05</v>
      </c>
      <c r="H6" s="2">
        <v>1684108</v>
      </c>
      <c r="I6" s="2">
        <v>4278</v>
      </c>
    </row>
    <row r="7" spans="1:12" ht="15.75" x14ac:dyDescent="0.25">
      <c r="A7" s="2" t="s">
        <v>21</v>
      </c>
      <c r="B7" t="s">
        <v>20</v>
      </c>
      <c r="C7" s="2">
        <v>5807719</v>
      </c>
      <c r="D7" s="2">
        <v>30238</v>
      </c>
      <c r="E7" s="2">
        <v>6091</v>
      </c>
      <c r="F7" s="2">
        <v>24570</v>
      </c>
      <c r="G7" s="2">
        <v>423.06</v>
      </c>
      <c r="H7" s="2">
        <v>329164</v>
      </c>
      <c r="I7" s="2">
        <v>5668</v>
      </c>
    </row>
    <row r="8" spans="1:12" ht="15.75" x14ac:dyDescent="0.25">
      <c r="A8" s="2" t="s">
        <v>23</v>
      </c>
      <c r="B8" t="s">
        <v>22</v>
      </c>
      <c r="C8" s="2">
        <v>3557006</v>
      </c>
      <c r="D8" s="2">
        <v>9589</v>
      </c>
      <c r="E8" s="2">
        <v>3312</v>
      </c>
      <c r="F8" s="2">
        <v>6459</v>
      </c>
      <c r="G8" s="2">
        <v>181.59</v>
      </c>
      <c r="H8" s="2">
        <v>111340</v>
      </c>
      <c r="I8" s="2">
        <v>3130</v>
      </c>
    </row>
    <row r="9" spans="1:12" ht="18.75" x14ac:dyDescent="0.3">
      <c r="A9" s="2" t="s">
        <v>25</v>
      </c>
      <c r="B9" t="s">
        <v>24</v>
      </c>
      <c r="C9" s="2">
        <v>986809</v>
      </c>
      <c r="D9" s="2">
        <v>8185</v>
      </c>
      <c r="E9" s="2">
        <v>4355</v>
      </c>
      <c r="F9" s="2">
        <v>4262</v>
      </c>
      <c r="G9" s="2">
        <v>431.9</v>
      </c>
      <c r="H9" s="2">
        <v>38710</v>
      </c>
      <c r="I9" s="2">
        <v>3923</v>
      </c>
      <c r="K9" s="66" t="s">
        <v>347</v>
      </c>
      <c r="L9" s="66"/>
    </row>
    <row r="10" spans="1:12" ht="18.75" x14ac:dyDescent="0.3">
      <c r="A10" s="2" t="s">
        <v>27</v>
      </c>
      <c r="B10" t="s">
        <v>26</v>
      </c>
      <c r="C10" s="2">
        <v>21733312</v>
      </c>
      <c r="D10" s="2">
        <v>86907</v>
      </c>
      <c r="E10" s="2">
        <v>3922</v>
      </c>
      <c r="F10" s="2">
        <v>83368</v>
      </c>
      <c r="G10" s="2">
        <v>383.6</v>
      </c>
      <c r="H10" s="2">
        <v>769112</v>
      </c>
      <c r="I10" s="2">
        <v>3539</v>
      </c>
      <c r="K10" s="66" t="s">
        <v>348</v>
      </c>
      <c r="L10" s="66"/>
    </row>
    <row r="11" spans="1:12" ht="15.75" x14ac:dyDescent="0.25">
      <c r="A11" s="2" t="s">
        <v>29</v>
      </c>
      <c r="B11" t="s">
        <v>28</v>
      </c>
      <c r="C11" s="2">
        <v>10710017</v>
      </c>
      <c r="D11" s="2">
        <v>46865</v>
      </c>
      <c r="E11" s="2">
        <v>4415</v>
      </c>
      <c r="F11" s="2">
        <v>42850</v>
      </c>
      <c r="G11" s="2">
        <v>400.09</v>
      </c>
      <c r="H11" s="2">
        <v>429976</v>
      </c>
      <c r="I11" s="2">
        <v>4015</v>
      </c>
    </row>
    <row r="12" spans="1:12" ht="15.75" x14ac:dyDescent="0.25">
      <c r="A12" s="2" t="s">
        <v>31</v>
      </c>
      <c r="B12" t="s">
        <v>30</v>
      </c>
      <c r="C12" s="2">
        <v>1407006</v>
      </c>
      <c r="D12" s="2">
        <v>8399</v>
      </c>
      <c r="E12" s="2">
        <v>5077</v>
      </c>
      <c r="F12" s="2">
        <v>3576</v>
      </c>
      <c r="G12" s="2">
        <v>254.16</v>
      </c>
      <c r="H12" s="2">
        <v>67856</v>
      </c>
      <c r="I12" s="2">
        <v>4823</v>
      </c>
    </row>
    <row r="13" spans="1:12" ht="15.75" x14ac:dyDescent="0.25">
      <c r="A13" s="2" t="s">
        <v>33</v>
      </c>
      <c r="B13" t="s">
        <v>32</v>
      </c>
      <c r="C13" s="2">
        <v>1826913</v>
      </c>
      <c r="D13" s="2">
        <v>6656</v>
      </c>
      <c r="E13" s="2">
        <v>2466</v>
      </c>
      <c r="F13" s="2">
        <v>4432</v>
      </c>
      <c r="G13" s="2">
        <v>242.59</v>
      </c>
      <c r="H13" s="2">
        <v>40626</v>
      </c>
      <c r="I13" s="2">
        <v>2224</v>
      </c>
    </row>
    <row r="14" spans="1:12" ht="15.75" x14ac:dyDescent="0.25">
      <c r="A14" s="2" t="s">
        <v>35</v>
      </c>
      <c r="B14" t="s">
        <v>34</v>
      </c>
      <c r="C14" s="2">
        <v>12587530</v>
      </c>
      <c r="D14" s="2">
        <v>56731</v>
      </c>
      <c r="E14" s="2">
        <v>3545</v>
      </c>
      <c r="F14" s="2">
        <v>53612</v>
      </c>
      <c r="G14" s="2">
        <v>425.91</v>
      </c>
      <c r="H14" s="2">
        <v>392574</v>
      </c>
      <c r="I14" s="2">
        <v>3119</v>
      </c>
    </row>
    <row r="15" spans="1:12" ht="15.75" x14ac:dyDescent="0.25">
      <c r="A15" s="2" t="s">
        <v>37</v>
      </c>
      <c r="B15" t="s">
        <v>36</v>
      </c>
      <c r="C15" s="2">
        <v>6754953</v>
      </c>
      <c r="D15" s="2">
        <v>27727</v>
      </c>
      <c r="E15" s="2">
        <v>3924</v>
      </c>
      <c r="F15" s="2">
        <v>24161</v>
      </c>
      <c r="G15" s="2">
        <v>357.68</v>
      </c>
      <c r="H15" s="2">
        <v>240906</v>
      </c>
      <c r="I15" s="2">
        <v>3566</v>
      </c>
    </row>
    <row r="16" spans="1:12" ht="15.75" x14ac:dyDescent="0.25">
      <c r="A16" s="2" t="s">
        <v>39</v>
      </c>
      <c r="B16" t="s">
        <v>38</v>
      </c>
      <c r="C16" s="2">
        <v>3163561</v>
      </c>
      <c r="D16" s="2">
        <v>12997</v>
      </c>
      <c r="E16" s="2">
        <v>3700</v>
      </c>
      <c r="F16" s="2">
        <v>9601</v>
      </c>
      <c r="G16" s="2">
        <v>303.49</v>
      </c>
      <c r="H16" s="2">
        <v>107450</v>
      </c>
      <c r="I16" s="2">
        <v>3396</v>
      </c>
    </row>
    <row r="17" spans="1:9" ht="15.75" x14ac:dyDescent="0.25">
      <c r="A17" s="2" t="s">
        <v>41</v>
      </c>
      <c r="B17" t="s">
        <v>40</v>
      </c>
      <c r="C17" s="2">
        <v>2913805</v>
      </c>
      <c r="D17" s="2">
        <v>16783</v>
      </c>
      <c r="E17" s="2">
        <v>4823</v>
      </c>
      <c r="F17" s="2">
        <v>12385</v>
      </c>
      <c r="G17" s="2">
        <v>425.05</v>
      </c>
      <c r="H17" s="2">
        <v>128154</v>
      </c>
      <c r="I17" s="2">
        <v>4398</v>
      </c>
    </row>
    <row r="18" spans="1:9" ht="15.75" x14ac:dyDescent="0.25">
      <c r="A18" s="2" t="s">
        <v>43</v>
      </c>
      <c r="B18" t="s">
        <v>42</v>
      </c>
      <c r="C18" s="2">
        <v>4477251</v>
      </c>
      <c r="D18" s="2">
        <v>15159</v>
      </c>
      <c r="E18" s="2">
        <v>3818</v>
      </c>
      <c r="F18" s="2">
        <v>11600</v>
      </c>
      <c r="G18" s="2">
        <v>259.08999999999997</v>
      </c>
      <c r="H18" s="2">
        <v>159346</v>
      </c>
      <c r="I18" s="2">
        <v>3559</v>
      </c>
    </row>
    <row r="19" spans="1:9" ht="15.75" x14ac:dyDescent="0.25">
      <c r="A19" s="2" t="s">
        <v>45</v>
      </c>
      <c r="B19" t="s">
        <v>44</v>
      </c>
      <c r="C19" s="2">
        <v>4645318</v>
      </c>
      <c r="D19" s="2">
        <v>35473</v>
      </c>
      <c r="E19" s="2">
        <v>6408</v>
      </c>
      <c r="F19" s="2">
        <v>29704</v>
      </c>
      <c r="G19" s="2">
        <v>639.44000000000005</v>
      </c>
      <c r="H19" s="2">
        <v>267978</v>
      </c>
      <c r="I19" s="2">
        <v>5769</v>
      </c>
    </row>
    <row r="20" spans="1:9" ht="15.75" x14ac:dyDescent="0.25">
      <c r="A20" s="2" t="s">
        <v>47</v>
      </c>
      <c r="B20" t="s">
        <v>46</v>
      </c>
      <c r="C20" s="2">
        <v>1350141</v>
      </c>
      <c r="D20" s="2">
        <v>3778</v>
      </c>
      <c r="E20" s="2">
        <v>2421</v>
      </c>
      <c r="F20" s="2">
        <v>1466</v>
      </c>
      <c r="G20" s="2">
        <v>108.58</v>
      </c>
      <c r="H20" s="2">
        <v>31220</v>
      </c>
      <c r="I20" s="2">
        <v>2312</v>
      </c>
    </row>
    <row r="21" spans="1:9" ht="15.75" x14ac:dyDescent="0.25">
      <c r="A21" s="2" t="s">
        <v>49</v>
      </c>
      <c r="B21" t="s">
        <v>48</v>
      </c>
      <c r="C21" s="2">
        <v>6055802</v>
      </c>
      <c r="D21" s="2">
        <v>27435</v>
      </c>
      <c r="E21" s="2">
        <v>3619</v>
      </c>
      <c r="F21" s="2">
        <v>24215</v>
      </c>
      <c r="G21" s="2">
        <v>399.86</v>
      </c>
      <c r="H21" s="2">
        <v>194974</v>
      </c>
      <c r="I21" s="2">
        <v>3220</v>
      </c>
    </row>
    <row r="22" spans="1:9" ht="15.75" x14ac:dyDescent="0.25">
      <c r="A22" s="2" t="s">
        <v>51</v>
      </c>
      <c r="B22" t="s">
        <v>50</v>
      </c>
      <c r="C22" s="2">
        <v>6893574</v>
      </c>
      <c r="D22" s="2">
        <v>23394</v>
      </c>
      <c r="E22" s="2">
        <v>2415</v>
      </c>
      <c r="F22" s="2">
        <v>21288</v>
      </c>
      <c r="G22" s="2">
        <v>308.81</v>
      </c>
      <c r="H22" s="2">
        <v>145204</v>
      </c>
      <c r="I22" s="2">
        <v>2106</v>
      </c>
    </row>
    <row r="23" spans="1:9" ht="15.75" x14ac:dyDescent="0.25">
      <c r="A23" s="2" t="s">
        <v>53</v>
      </c>
      <c r="B23" t="s">
        <v>52</v>
      </c>
      <c r="C23" s="2">
        <v>9966555</v>
      </c>
      <c r="D23" s="2">
        <v>50363</v>
      </c>
      <c r="E23" s="2">
        <v>3200</v>
      </c>
      <c r="F23" s="2">
        <v>47641</v>
      </c>
      <c r="G23" s="2">
        <v>478.01</v>
      </c>
      <c r="H23" s="2">
        <v>271266</v>
      </c>
      <c r="I23" s="2">
        <v>2722</v>
      </c>
    </row>
    <row r="24" spans="1:9" ht="15.75" x14ac:dyDescent="0.25">
      <c r="A24" s="2" t="s">
        <v>55</v>
      </c>
      <c r="B24" t="s">
        <v>54</v>
      </c>
      <c r="C24" s="2">
        <v>5657342</v>
      </c>
      <c r="D24" s="2">
        <v>19948</v>
      </c>
      <c r="E24" s="2">
        <v>4527</v>
      </c>
      <c r="F24" s="2">
        <v>15698</v>
      </c>
      <c r="G24" s="2">
        <v>277.48</v>
      </c>
      <c r="H24" s="2">
        <v>240424</v>
      </c>
      <c r="I24" s="2">
        <v>4250</v>
      </c>
    </row>
    <row r="25" spans="1:9" ht="15.75" x14ac:dyDescent="0.25">
      <c r="A25" s="2" t="s">
        <v>57</v>
      </c>
      <c r="B25" t="s">
        <v>56</v>
      </c>
      <c r="C25" s="2">
        <v>2966786</v>
      </c>
      <c r="D25" s="2">
        <v>12841</v>
      </c>
      <c r="E25" s="2">
        <v>4494</v>
      </c>
      <c r="F25" s="2">
        <v>8638</v>
      </c>
      <c r="G25" s="2">
        <v>291.16000000000003</v>
      </c>
      <c r="H25" s="2">
        <v>124702</v>
      </c>
      <c r="I25" s="2">
        <v>4203</v>
      </c>
    </row>
    <row r="26" spans="1:9" ht="15.75" x14ac:dyDescent="0.25">
      <c r="A26" s="2" t="s">
        <v>59</v>
      </c>
      <c r="B26" t="s">
        <v>58</v>
      </c>
      <c r="C26" s="2">
        <v>6151548</v>
      </c>
      <c r="D26" s="2">
        <v>38447</v>
      </c>
      <c r="E26" s="2">
        <v>5605</v>
      </c>
      <c r="F26" s="2">
        <v>33385</v>
      </c>
      <c r="G26" s="2">
        <v>542.71</v>
      </c>
      <c r="H26" s="2">
        <v>311396</v>
      </c>
      <c r="I26" s="2">
        <v>5062</v>
      </c>
    </row>
    <row r="27" spans="1:9" ht="15.75" x14ac:dyDescent="0.25">
      <c r="A27" s="2" t="s">
        <v>61</v>
      </c>
      <c r="B27" t="s">
        <v>60</v>
      </c>
      <c r="C27" s="2">
        <v>1080577</v>
      </c>
      <c r="D27" s="2">
        <v>9319</v>
      </c>
      <c r="E27" s="2">
        <v>4711</v>
      </c>
      <c r="F27" s="2">
        <v>5077</v>
      </c>
      <c r="G27" s="2">
        <v>469.84</v>
      </c>
      <c r="H27" s="2">
        <v>45834</v>
      </c>
      <c r="I27" s="2">
        <v>4242</v>
      </c>
    </row>
    <row r="28" spans="1:9" ht="15.75" x14ac:dyDescent="0.25">
      <c r="A28" s="2" t="s">
        <v>63</v>
      </c>
      <c r="B28" t="s">
        <v>62</v>
      </c>
      <c r="C28" s="2">
        <v>1937552</v>
      </c>
      <c r="D28" s="2">
        <v>10291</v>
      </c>
      <c r="E28" s="2">
        <v>4152</v>
      </c>
      <c r="F28" s="2">
        <v>6473</v>
      </c>
      <c r="G28" s="2">
        <v>334.08</v>
      </c>
      <c r="H28" s="2">
        <v>73982</v>
      </c>
      <c r="I28" s="2">
        <v>3818</v>
      </c>
    </row>
    <row r="29" spans="1:9" ht="15.75" x14ac:dyDescent="0.25">
      <c r="A29" s="2" t="s">
        <v>65</v>
      </c>
      <c r="B29" t="s">
        <v>64</v>
      </c>
      <c r="C29" s="2">
        <v>3138259</v>
      </c>
      <c r="D29" s="2">
        <v>18298</v>
      </c>
      <c r="E29" s="2">
        <v>4314</v>
      </c>
      <c r="F29" s="2">
        <v>14445</v>
      </c>
      <c r="G29" s="2">
        <v>460.29</v>
      </c>
      <c r="H29" s="2">
        <v>120924</v>
      </c>
      <c r="I29" s="2">
        <v>3853</v>
      </c>
    </row>
    <row r="30" spans="1:9" ht="15.75" x14ac:dyDescent="0.25">
      <c r="A30" s="2" t="s">
        <v>67</v>
      </c>
      <c r="B30" t="s">
        <v>66</v>
      </c>
      <c r="C30" s="2">
        <v>1366275</v>
      </c>
      <c r="D30" s="2">
        <v>4198</v>
      </c>
      <c r="E30" s="2">
        <v>2344</v>
      </c>
      <c r="F30" s="2">
        <v>2000</v>
      </c>
      <c r="G30" s="2">
        <v>146.38</v>
      </c>
      <c r="H30" s="2">
        <v>30028</v>
      </c>
      <c r="I30" s="2">
        <v>2198</v>
      </c>
    </row>
    <row r="31" spans="1:9" ht="15.75" x14ac:dyDescent="0.25">
      <c r="A31" s="2" t="s">
        <v>69</v>
      </c>
      <c r="B31" t="s">
        <v>68</v>
      </c>
      <c r="C31" s="2">
        <v>8882371</v>
      </c>
      <c r="D31" s="2">
        <v>19669</v>
      </c>
      <c r="E31" s="2">
        <v>2512</v>
      </c>
      <c r="F31" s="2">
        <v>17353</v>
      </c>
      <c r="G31" s="2">
        <v>195.37</v>
      </c>
      <c r="H31" s="2">
        <v>205750</v>
      </c>
      <c r="I31" s="2">
        <v>2316</v>
      </c>
    </row>
    <row r="32" spans="1:9" ht="15.75" x14ac:dyDescent="0.25">
      <c r="A32" s="2" t="s">
        <v>71</v>
      </c>
      <c r="B32" t="s">
        <v>70</v>
      </c>
      <c r="C32" s="2">
        <v>2106319</v>
      </c>
      <c r="D32" s="2">
        <v>22077</v>
      </c>
      <c r="E32" s="2">
        <v>6462</v>
      </c>
      <c r="F32" s="2">
        <v>16393</v>
      </c>
      <c r="G32" s="2">
        <v>778.28</v>
      </c>
      <c r="H32" s="2">
        <v>119718</v>
      </c>
      <c r="I32" s="2">
        <v>5684</v>
      </c>
    </row>
    <row r="33" spans="1:9" ht="15.75" x14ac:dyDescent="0.25">
      <c r="A33" s="2" t="s">
        <v>73</v>
      </c>
      <c r="B33" t="s">
        <v>72</v>
      </c>
      <c r="C33" s="2">
        <v>19336776</v>
      </c>
      <c r="D33" s="2">
        <v>73160</v>
      </c>
      <c r="E33" s="2">
        <v>3185</v>
      </c>
      <c r="F33" s="2">
        <v>70339</v>
      </c>
      <c r="G33" s="2">
        <v>363.76</v>
      </c>
      <c r="H33" s="2">
        <v>545576</v>
      </c>
      <c r="I33" s="2">
        <v>2821</v>
      </c>
    </row>
    <row r="34" spans="1:9" ht="15.75" x14ac:dyDescent="0.25">
      <c r="A34" s="2" t="s">
        <v>75</v>
      </c>
      <c r="B34" t="s">
        <v>74</v>
      </c>
      <c r="C34" s="2">
        <v>10600823</v>
      </c>
      <c r="D34" s="2">
        <v>48904</v>
      </c>
      <c r="E34" s="2">
        <v>4872</v>
      </c>
      <c r="F34" s="2">
        <v>44451</v>
      </c>
      <c r="G34" s="2">
        <v>419.32</v>
      </c>
      <c r="H34" s="2">
        <v>472052</v>
      </c>
      <c r="I34" s="2">
        <v>4453</v>
      </c>
    </row>
    <row r="35" spans="1:9" ht="15.75" x14ac:dyDescent="0.25">
      <c r="A35" s="2" t="s">
        <v>77</v>
      </c>
      <c r="B35" t="s">
        <v>76</v>
      </c>
      <c r="C35" s="2">
        <v>765309</v>
      </c>
      <c r="D35" s="2">
        <v>6766</v>
      </c>
      <c r="E35" s="2">
        <v>4577</v>
      </c>
      <c r="F35" s="2">
        <v>2518</v>
      </c>
      <c r="G35" s="2">
        <v>329.02</v>
      </c>
      <c r="H35" s="2">
        <v>32512</v>
      </c>
      <c r="I35" s="2">
        <v>4248</v>
      </c>
    </row>
    <row r="36" spans="1:9" ht="15.75" x14ac:dyDescent="0.25">
      <c r="A36" s="2" t="s">
        <v>79</v>
      </c>
      <c r="B36" t="s">
        <v>78</v>
      </c>
      <c r="C36" s="2">
        <v>11693217</v>
      </c>
      <c r="D36" s="2">
        <v>39805</v>
      </c>
      <c r="E36" s="2">
        <v>4009</v>
      </c>
      <c r="F36" s="2">
        <v>36104</v>
      </c>
      <c r="G36" s="2">
        <v>308.76</v>
      </c>
      <c r="H36" s="2">
        <v>432726</v>
      </c>
      <c r="I36" s="2">
        <v>3701</v>
      </c>
    </row>
    <row r="37" spans="1:9" ht="15.75" x14ac:dyDescent="0.25">
      <c r="A37" s="2" t="s">
        <v>81</v>
      </c>
      <c r="B37" t="s">
        <v>80</v>
      </c>
      <c r="C37" s="2">
        <v>3980783</v>
      </c>
      <c r="D37" s="2">
        <v>23666</v>
      </c>
      <c r="E37" s="2">
        <v>5870</v>
      </c>
      <c r="F37" s="2">
        <v>18255</v>
      </c>
      <c r="G37" s="2">
        <v>458.58</v>
      </c>
      <c r="H37" s="2">
        <v>215410</v>
      </c>
      <c r="I37" s="2">
        <v>5411</v>
      </c>
    </row>
    <row r="38" spans="1:9" ht="15.75" x14ac:dyDescent="0.25">
      <c r="A38" s="2" t="s">
        <v>83</v>
      </c>
      <c r="B38" t="s">
        <v>82</v>
      </c>
      <c r="C38" s="2">
        <v>4241507</v>
      </c>
      <c r="D38" s="2">
        <v>17698</v>
      </c>
      <c r="E38" s="2">
        <v>5610</v>
      </c>
      <c r="F38" s="2">
        <v>12380</v>
      </c>
      <c r="G38" s="2">
        <v>291.88</v>
      </c>
      <c r="H38" s="2">
        <v>225564</v>
      </c>
      <c r="I38" s="2">
        <v>5318</v>
      </c>
    </row>
    <row r="39" spans="1:9" ht="15.75" x14ac:dyDescent="0.25">
      <c r="A39" s="2" t="s">
        <v>85</v>
      </c>
      <c r="B39" t="s">
        <v>84</v>
      </c>
      <c r="C39" s="2">
        <v>12783254</v>
      </c>
      <c r="D39" s="2">
        <v>53081</v>
      </c>
      <c r="E39" s="2">
        <v>3678</v>
      </c>
      <c r="F39" s="2">
        <v>49793</v>
      </c>
      <c r="G39" s="2">
        <v>389.52</v>
      </c>
      <c r="H39" s="2">
        <v>420334</v>
      </c>
      <c r="I39" s="2">
        <v>3288</v>
      </c>
    </row>
    <row r="40" spans="1:9" ht="15.75" x14ac:dyDescent="0.25">
      <c r="A40" s="2" t="s">
        <v>87</v>
      </c>
      <c r="B40" t="s">
        <v>86</v>
      </c>
      <c r="C40" s="2">
        <v>1057125</v>
      </c>
      <c r="D40" s="2">
        <v>4931</v>
      </c>
      <c r="E40" s="2">
        <v>2722</v>
      </c>
      <c r="F40" s="2">
        <v>2440</v>
      </c>
      <c r="G40" s="2">
        <v>230.81</v>
      </c>
      <c r="H40" s="2">
        <v>26332</v>
      </c>
      <c r="I40" s="2">
        <v>2491</v>
      </c>
    </row>
    <row r="41" spans="1:9" ht="15.75" x14ac:dyDescent="0.25">
      <c r="A41" s="2" t="s">
        <v>89</v>
      </c>
      <c r="B41" t="s">
        <v>88</v>
      </c>
      <c r="C41" s="2">
        <v>5218040</v>
      </c>
      <c r="D41" s="2">
        <v>33133</v>
      </c>
      <c r="E41" s="2">
        <v>5973</v>
      </c>
      <c r="F41" s="2">
        <v>27691</v>
      </c>
      <c r="G41" s="2">
        <v>530.67999999999995</v>
      </c>
      <c r="H41" s="2">
        <v>283974</v>
      </c>
      <c r="I41" s="2">
        <v>5442</v>
      </c>
    </row>
    <row r="42" spans="1:9" ht="15.75" x14ac:dyDescent="0.25">
      <c r="A42" s="2" t="s">
        <v>91</v>
      </c>
      <c r="B42" t="s">
        <v>90</v>
      </c>
      <c r="C42" s="2">
        <v>892717</v>
      </c>
      <c r="D42" s="2">
        <v>8389</v>
      </c>
      <c r="E42" s="2">
        <v>4415</v>
      </c>
      <c r="F42" s="2">
        <v>4476</v>
      </c>
      <c r="G42" s="2">
        <v>501.39</v>
      </c>
      <c r="H42" s="2">
        <v>34936</v>
      </c>
      <c r="I42" s="2">
        <v>3913</v>
      </c>
    </row>
    <row r="43" spans="1:9" ht="15.75" x14ac:dyDescent="0.25">
      <c r="A43" s="2" t="s">
        <v>93</v>
      </c>
      <c r="B43" t="s">
        <v>92</v>
      </c>
      <c r="C43" s="2">
        <v>6886834</v>
      </c>
      <c r="D43" s="2">
        <v>51314</v>
      </c>
      <c r="E43" s="2">
        <v>5658</v>
      </c>
      <c r="F43" s="2">
        <v>46328</v>
      </c>
      <c r="G43" s="2">
        <v>672.7</v>
      </c>
      <c r="H43" s="2">
        <v>343350</v>
      </c>
      <c r="I43" s="2">
        <v>4986</v>
      </c>
    </row>
    <row r="44" spans="1:9" ht="15.75" x14ac:dyDescent="0.25">
      <c r="A44" s="2" t="s">
        <v>95</v>
      </c>
      <c r="B44" t="s">
        <v>94</v>
      </c>
      <c r="C44" s="2">
        <v>29360759</v>
      </c>
      <c r="D44" s="2">
        <v>135574</v>
      </c>
      <c r="E44" s="2">
        <v>4937</v>
      </c>
      <c r="F44" s="2">
        <v>131084</v>
      </c>
      <c r="G44" s="2">
        <v>446.46</v>
      </c>
      <c r="H44" s="2">
        <v>1318320</v>
      </c>
      <c r="I44" s="2">
        <v>4490</v>
      </c>
    </row>
    <row r="45" spans="1:9" ht="15.75" x14ac:dyDescent="0.25">
      <c r="A45" s="2" t="s">
        <v>97</v>
      </c>
      <c r="B45" t="s">
        <v>96</v>
      </c>
      <c r="C45" s="2">
        <v>3249879</v>
      </c>
      <c r="D45" s="2">
        <v>13400</v>
      </c>
      <c r="E45" s="2">
        <v>5190</v>
      </c>
      <c r="F45" s="2">
        <v>8471</v>
      </c>
      <c r="G45" s="2">
        <v>260.66000000000003</v>
      </c>
      <c r="H45" s="2">
        <v>160182</v>
      </c>
      <c r="I45" s="2">
        <v>4929</v>
      </c>
    </row>
    <row r="46" spans="1:9" ht="15.75" x14ac:dyDescent="0.25">
      <c r="A46" s="2" t="s">
        <v>99</v>
      </c>
      <c r="B46" t="s">
        <v>98</v>
      </c>
      <c r="C46" s="2">
        <v>623347</v>
      </c>
      <c r="D46" s="2">
        <v>3515</v>
      </c>
      <c r="E46" s="2">
        <v>2607</v>
      </c>
      <c r="F46" s="2">
        <v>1081</v>
      </c>
      <c r="G46" s="2">
        <v>173.42</v>
      </c>
      <c r="H46" s="2">
        <v>15172</v>
      </c>
      <c r="I46" s="2">
        <v>2434</v>
      </c>
    </row>
    <row r="47" spans="1:9" ht="15.75" x14ac:dyDescent="0.25">
      <c r="A47" s="2" t="s">
        <v>101</v>
      </c>
      <c r="B47" t="s">
        <v>100</v>
      </c>
      <c r="C47" s="2">
        <v>8590563</v>
      </c>
      <c r="D47" s="2">
        <v>20838</v>
      </c>
      <c r="E47" s="2">
        <v>3121</v>
      </c>
      <c r="F47" s="2">
        <v>17925</v>
      </c>
      <c r="G47" s="2">
        <v>208.66</v>
      </c>
      <c r="H47" s="2">
        <v>250228</v>
      </c>
      <c r="I47" s="2">
        <v>2913</v>
      </c>
    </row>
    <row r="48" spans="1:9" ht="15.75" x14ac:dyDescent="0.25">
      <c r="A48" s="2" t="s">
        <v>103</v>
      </c>
      <c r="B48" t="s">
        <v>102</v>
      </c>
      <c r="C48" s="2">
        <v>7693612</v>
      </c>
      <c r="D48" s="2">
        <v>28061</v>
      </c>
      <c r="E48" s="2">
        <v>5759</v>
      </c>
      <c r="F48" s="2">
        <v>22596</v>
      </c>
      <c r="G48" s="2">
        <v>293.7</v>
      </c>
      <c r="H48" s="2">
        <v>420446</v>
      </c>
      <c r="I48" s="2">
        <v>5465</v>
      </c>
    </row>
    <row r="49" spans="1:9" ht="15.75" x14ac:dyDescent="0.25">
      <c r="A49" s="2" t="s">
        <v>105</v>
      </c>
      <c r="B49" t="s">
        <v>104</v>
      </c>
      <c r="C49" s="2">
        <v>1784787</v>
      </c>
      <c r="D49" s="2">
        <v>9151</v>
      </c>
      <c r="E49" s="2">
        <v>3155</v>
      </c>
      <c r="F49" s="2">
        <v>6352</v>
      </c>
      <c r="G49" s="2">
        <v>355.9</v>
      </c>
      <c r="H49" s="2">
        <v>49952</v>
      </c>
      <c r="I49" s="2">
        <v>2799</v>
      </c>
    </row>
    <row r="50" spans="1:9" ht="15.75" x14ac:dyDescent="0.25">
      <c r="A50" s="2" t="s">
        <v>107</v>
      </c>
      <c r="B50" t="s">
        <v>106</v>
      </c>
      <c r="C50" s="2">
        <v>5832655</v>
      </c>
      <c r="D50" s="2">
        <v>21832</v>
      </c>
      <c r="E50" s="2">
        <v>3295</v>
      </c>
      <c r="F50" s="2">
        <v>18861</v>
      </c>
      <c r="G50" s="2">
        <v>323.37</v>
      </c>
      <c r="H50" s="2">
        <v>173308</v>
      </c>
      <c r="I50" s="2">
        <v>2971</v>
      </c>
    </row>
    <row r="51" spans="1:9" ht="15.75" x14ac:dyDescent="0.25">
      <c r="A51" s="2" t="s">
        <v>109</v>
      </c>
      <c r="B51" t="s">
        <v>108</v>
      </c>
      <c r="C51" s="2">
        <v>582328</v>
      </c>
      <c r="D51" s="2">
        <v>4585</v>
      </c>
      <c r="E51" s="2">
        <v>3455</v>
      </c>
      <c r="F51" s="2">
        <v>1364</v>
      </c>
      <c r="G51" s="2">
        <v>234.23</v>
      </c>
      <c r="H51" s="2">
        <v>18758</v>
      </c>
      <c r="I51" s="2">
        <v>3221</v>
      </c>
    </row>
  </sheetData>
  <conditionalFormatting sqref="E2:E51">
    <cfRule type="top10" dxfId="91" priority="2" rank="3"/>
    <cfRule type="top10" dxfId="90" priority="1" bottom="1" rank="3"/>
  </conditionalFormatting>
  <hyperlinks>
    <hyperlink ref="A2" r:id="rId1" display="https://worldpopulationreview.com/states/alabama" xr:uid="{1918B5D9-0103-443C-814E-5DF9B2C3FB99}"/>
    <hyperlink ref="A3" r:id="rId2" display="https://worldpopulationreview.com/states/alaska" xr:uid="{96073EE0-22C2-4038-89E6-CA28503B9930}"/>
    <hyperlink ref="A4" r:id="rId3" display="https://worldpopulationreview.com/states/arizona" xr:uid="{54B95920-5B2F-4386-ABF4-5F7DEE02C75A}"/>
    <hyperlink ref="A5" r:id="rId4" display="https://worldpopulationreview.com/states/arkansas" xr:uid="{306934E7-8E99-43D9-8C76-5E68F28E7D3B}"/>
    <hyperlink ref="A6" r:id="rId5" display="https://worldpopulationreview.com/states/california" xr:uid="{915B9305-4BB1-4ED7-9CC0-2CC94D52F7B0}"/>
    <hyperlink ref="A7" r:id="rId6" display="https://worldpopulationreview.com/states/colorado" xr:uid="{3E8BD2CB-72B6-472C-8128-50619B143421}"/>
    <hyperlink ref="A8" r:id="rId7" display="https://worldpopulationreview.com/states/connecticut" xr:uid="{1E80C31A-9995-43D8-9FDA-70186417A243}"/>
    <hyperlink ref="A9" r:id="rId8" display="https://worldpopulationreview.com/states/delaware" xr:uid="{8461EADB-F732-417E-9E0D-653347DB6AE2}"/>
    <hyperlink ref="A10" r:id="rId9" display="https://worldpopulationreview.com/states/florida" xr:uid="{630F70C6-CA0A-4CAF-9E91-9ADF04AD8E45}"/>
    <hyperlink ref="A11" r:id="rId10" display="https://worldpopulationreview.com/states/georgia" xr:uid="{694C7234-25BF-4E5B-AB12-2DA317CB1E57}"/>
    <hyperlink ref="A12" r:id="rId11" display="https://worldpopulationreview.com/states/hawaii" xr:uid="{0C5DB254-E827-43F5-A2D8-169B8C896927}"/>
    <hyperlink ref="A13" r:id="rId12" display="https://worldpopulationreview.com/states/idaho" xr:uid="{2C0BE385-7133-42BA-8F0E-E13E3834BCE7}"/>
    <hyperlink ref="A14" r:id="rId13" display="https://worldpopulationreview.com/states/illinois" xr:uid="{73FB0B43-B25A-4A4B-A2C4-CFF136D66B27}"/>
    <hyperlink ref="A15" r:id="rId14" display="https://worldpopulationreview.com/states/indiana" xr:uid="{0613558F-3571-4576-B284-EAC6BCC3A86B}"/>
    <hyperlink ref="A16" r:id="rId15" display="https://worldpopulationreview.com/states/iowa" xr:uid="{A8C3C78C-1861-4BD4-9967-02C9673DAF02}"/>
    <hyperlink ref="A17" r:id="rId16" display="https://worldpopulationreview.com/states/kansas" xr:uid="{1459CF10-301E-48F4-A549-EA6EEDE926CA}"/>
    <hyperlink ref="A18" r:id="rId17" display="https://worldpopulationreview.com/states/kentucky" xr:uid="{885F056B-751E-445B-ABC2-8505C186501D}"/>
    <hyperlink ref="A19" r:id="rId18" display="https://worldpopulationreview.com/states/louisiana" xr:uid="{D3BFD10B-21B8-47C6-BF23-96CCCA983473}"/>
    <hyperlink ref="A20" r:id="rId19" display="https://worldpopulationreview.com/states/maine" xr:uid="{A9EE9D52-0D48-4C7D-8AF3-315886A053B9}"/>
    <hyperlink ref="A21" r:id="rId20" display="https://worldpopulationreview.com/states/maryland" xr:uid="{1E350920-C336-429D-A183-452C7F459434}"/>
    <hyperlink ref="A22" r:id="rId21" display="https://worldpopulationreview.com/states/massachusetts" xr:uid="{1CB2BC8A-F436-4FB4-ABBF-ACBACFA98166}"/>
    <hyperlink ref="A23" r:id="rId22" display="https://worldpopulationreview.com/states/michigan" xr:uid="{7F0A80DE-FBC5-466F-B83E-30B3FFD2FB6A}"/>
    <hyperlink ref="A24" r:id="rId23" display="https://worldpopulationreview.com/states/minnesota" xr:uid="{C922A710-D3A0-44BA-8ED1-9D8959B9DD31}"/>
    <hyperlink ref="A25" r:id="rId24" display="https://worldpopulationreview.com/states/mississippi" xr:uid="{2D4304E7-3ECC-4FFE-9B5D-DC8BF59CCA2D}"/>
    <hyperlink ref="A26" r:id="rId25" display="https://worldpopulationreview.com/states/missouri" xr:uid="{21CA8EDA-86E1-45D6-9392-1678F585E4BD}"/>
    <hyperlink ref="A27" r:id="rId26" display="https://worldpopulationreview.com/states/montana" xr:uid="{3074C885-D3EB-4464-95BE-115154FCAE96}"/>
    <hyperlink ref="A28" r:id="rId27" display="https://worldpopulationreview.com/states/nebraska" xr:uid="{98D87FA0-9008-42D6-A39C-8DFD60F24871}"/>
    <hyperlink ref="A29" r:id="rId28" display="https://worldpopulationreview.com/states/nevada" xr:uid="{A4ED5E04-F6E1-4F4F-AAD7-3B2BF48897EB}"/>
    <hyperlink ref="A30" r:id="rId29" display="https://worldpopulationreview.com/states/new-hampshire" xr:uid="{FC613EE6-11E6-446C-B4A4-F0F7E74A6010}"/>
    <hyperlink ref="A31" r:id="rId30" display="https://worldpopulationreview.com/states/new-jersey" xr:uid="{B2A135F8-1D12-4B02-982B-93317EC20C5A}"/>
    <hyperlink ref="A32" r:id="rId31" display="https://worldpopulationreview.com/states/new-mexico" xr:uid="{335221FA-122F-465C-A060-53271C47F6D1}"/>
    <hyperlink ref="A33" r:id="rId32" display="https://worldpopulationreview.com/states/new-york" xr:uid="{34DEE9D3-2E0D-4359-8A73-6BC98013E6FC}"/>
    <hyperlink ref="A34" r:id="rId33" display="https://worldpopulationreview.com/states/north-carolina" xr:uid="{A1D81AE5-95FD-4C4B-9EEB-DA3707040237}"/>
    <hyperlink ref="A35" r:id="rId34" display="https://worldpopulationreview.com/states/north-dakota" xr:uid="{1EC4BBEC-3CEA-41B9-836F-5E35A4C0832B}"/>
    <hyperlink ref="A36" r:id="rId35" display="https://worldpopulationreview.com/states/ohio" xr:uid="{1B3B0AE0-01AE-4F20-9FA5-DFE8A10FBC40}"/>
    <hyperlink ref="A37" r:id="rId36" display="https://worldpopulationreview.com/states/oklahoma" xr:uid="{7987D1AF-CC6C-453A-83C8-FE7884496765}"/>
    <hyperlink ref="A38" r:id="rId37" display="https://worldpopulationreview.com/states/oregon" xr:uid="{AA1C3B41-FEDE-4764-B496-BB080E20F57E}"/>
    <hyperlink ref="A39" r:id="rId38" display="https://worldpopulationreview.com/states/pennsylvania" xr:uid="{72720326-5398-43C9-B767-A4B1F7395126}"/>
    <hyperlink ref="A40" r:id="rId39" display="https://worldpopulationreview.com/states/rhode-island" xr:uid="{36C89339-9DDD-437C-87C1-1268D299555F}"/>
    <hyperlink ref="A41" r:id="rId40" display="https://worldpopulationreview.com/states/south-carolina" xr:uid="{B955F455-DC74-4D01-9808-E66433782F77}"/>
    <hyperlink ref="A42" r:id="rId41" display="https://worldpopulationreview.com/states/south-dakota" xr:uid="{7F7CFADC-E1CF-411D-BF46-90D1A58DEA9D}"/>
    <hyperlink ref="A43" r:id="rId42" display="https://worldpopulationreview.com/states/tennessee" xr:uid="{0FBA0EFB-D3A7-4AB6-9908-52801F6ACF5C}"/>
    <hyperlink ref="A44" r:id="rId43" display="https://worldpopulationreview.com/states/texas" xr:uid="{12AFBE82-F72D-40A9-BFAD-96D02E34D603}"/>
    <hyperlink ref="A45" r:id="rId44" display="https://worldpopulationreview.com/states/utah" xr:uid="{D8348C6D-58EC-4FA1-AD00-5F5A5BA33675}"/>
    <hyperlink ref="A46" r:id="rId45" display="https://worldpopulationreview.com/states/vermont" xr:uid="{20C99134-B63F-4732-9B5B-5F897323278B}"/>
    <hyperlink ref="A47" r:id="rId46" display="https://worldpopulationreview.com/states/virginia" xr:uid="{CE56AC19-3E6E-4948-8ACD-9FCB944DD862}"/>
    <hyperlink ref="A48" r:id="rId47" display="https://worldpopulationreview.com/states/washington" xr:uid="{C65C21F7-F983-4E24-B8E9-7337110E6201}"/>
    <hyperlink ref="A49" r:id="rId48" display="https://worldpopulationreview.com/states/west-virginia" xr:uid="{7D7EAB38-6BBE-4C47-ACB6-BB05B1ABAA64}"/>
    <hyperlink ref="A50" r:id="rId49" display="https://worldpopulationreview.com/states/wisconsin" xr:uid="{F593FCFD-01A2-4A3C-AF21-ADAF9C5D8F0C}"/>
    <hyperlink ref="A51" r:id="rId50" display="https://worldpopulationreview.com/states/wyoming" xr:uid="{4D83128C-E262-4969-8096-6AAAA58CC0F9}"/>
  </hyperlinks>
  <pageMargins left="0.7" right="0.7" top="0.75" bottom="0.75" header="0.3" footer="0.3"/>
  <pageSetup orientation="portrait" r:id="rId51"/>
  <drawing r:id="rId52"/>
  <legacyDrawing r:id="rId53"/>
  <mc:AlternateContent xmlns:mc="http://schemas.openxmlformats.org/markup-compatibility/2006">
    <mc:Choice Requires="x14">
      <controls>
        <mc:AlternateContent xmlns:mc="http://schemas.openxmlformats.org/markup-compatibility/2006">
          <mc:Choice Requires="x14">
            <control shapeId="3073" r:id="rId54" name="Button 1">
              <controlPr defaultSize="0" print="0" autoFill="0" autoPict="0" macro="[0]!Dashboard">
                <anchor moveWithCells="1" sizeWithCells="1">
                  <from>
                    <xdr:col>10</xdr:col>
                    <xdr:colOff>9525</xdr:colOff>
                    <xdr:row>1</xdr:row>
                    <xdr:rowOff>200025</xdr:rowOff>
                  </from>
                  <to>
                    <xdr:col>12</xdr:col>
                    <xdr:colOff>38100</xdr:colOff>
                    <xdr:row>6</xdr:row>
                    <xdr:rowOff>19050</xdr:rowOff>
                  </to>
                </anchor>
              </controlPr>
            </control>
          </mc:Choice>
        </mc:AlternateContent>
      </controls>
    </mc:Choice>
  </mc:AlternateContent>
  <tableParts count="1">
    <tablePart r:id="rId5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9882D7-3C7B-4D88-BE74-E90A7454F5A0}">
  <sheetPr codeName="Sheet6">
    <tabColor rgb="FF7030A0"/>
  </sheetPr>
  <dimension ref="A1:K51"/>
  <sheetViews>
    <sheetView zoomScale="90" zoomScaleNormal="90" workbookViewId="0"/>
  </sheetViews>
  <sheetFormatPr defaultColWidth="11.42578125" defaultRowHeight="15" x14ac:dyDescent="0.25"/>
  <cols>
    <col min="1" max="1" width="15.42578125" bestFit="1" customWidth="1"/>
    <col min="2" max="2" width="13.85546875" bestFit="1" customWidth="1"/>
    <col min="3" max="3" width="39.42578125" bestFit="1" customWidth="1"/>
    <col min="4" max="5" width="33" bestFit="1" customWidth="1"/>
    <col min="6" max="6" width="33.28515625" bestFit="1" customWidth="1"/>
    <col min="7" max="7" width="14" bestFit="1" customWidth="1"/>
    <col min="8" max="8" width="13.140625" bestFit="1" customWidth="1"/>
    <col min="9" max="9" width="30.42578125" bestFit="1" customWidth="1"/>
    <col min="10" max="10" width="7.7109375" bestFit="1" customWidth="1"/>
    <col min="11" max="11" width="8.85546875" bestFit="1" customWidth="1"/>
    <col min="12" max="12" width="9.42578125" bestFit="1" customWidth="1"/>
    <col min="13" max="13" width="9" bestFit="1" customWidth="1"/>
    <col min="14" max="14" width="11.42578125" bestFit="1" customWidth="1"/>
    <col min="15" max="15" width="9.42578125" bestFit="1" customWidth="1"/>
    <col min="16" max="16" width="7.140625" bestFit="1" customWidth="1"/>
    <col min="17" max="17" width="8" bestFit="1" customWidth="1"/>
    <col min="18" max="18" width="7" bestFit="1" customWidth="1"/>
    <col min="19" max="19" width="6" bestFit="1" customWidth="1"/>
    <col min="20" max="20" width="7" bestFit="1" customWidth="1"/>
    <col min="21" max="21" width="7.42578125" bestFit="1" customWidth="1"/>
    <col min="22" max="22" width="5.28515625" bestFit="1" customWidth="1"/>
    <col min="23" max="23" width="7" bestFit="1" customWidth="1"/>
    <col min="24" max="24" width="9.140625" bestFit="1" customWidth="1"/>
    <col min="25" max="25" width="9.28515625" bestFit="1" customWidth="1"/>
    <col min="26" max="26" width="6.7109375" bestFit="1" customWidth="1"/>
    <col min="27" max="27" width="9.42578125" bestFit="1" customWidth="1"/>
    <col min="28" max="28" width="14.140625" bestFit="1" customWidth="1"/>
    <col min="29" max="29" width="9.140625" bestFit="1" customWidth="1"/>
    <col min="30" max="30" width="10.42578125" bestFit="1" customWidth="1"/>
    <col min="31" max="31" width="10.85546875" bestFit="1" customWidth="1"/>
    <col min="32" max="32" width="8.7109375" bestFit="1" customWidth="1"/>
    <col min="33" max="33" width="9" bestFit="1" customWidth="1"/>
    <col min="34" max="34" width="9.28515625" bestFit="1" customWidth="1"/>
    <col min="35" max="35" width="7.7109375" bestFit="1" customWidth="1"/>
    <col min="36" max="36" width="15.28515625" bestFit="1" customWidth="1"/>
    <col min="37" max="37" width="11.140625" bestFit="1" customWidth="1"/>
    <col min="38" max="38" width="12.140625" bestFit="1" customWidth="1"/>
    <col min="39" max="39" width="9.42578125" bestFit="1" customWidth="1"/>
    <col min="40" max="40" width="14" bestFit="1" customWidth="1"/>
    <col min="41" max="41" width="12.7109375" bestFit="1" customWidth="1"/>
    <col min="42" max="42" width="5.28515625" bestFit="1" customWidth="1"/>
    <col min="43" max="43" width="10" bestFit="1" customWidth="1"/>
    <col min="44" max="44" width="7.42578125" bestFit="1" customWidth="1"/>
    <col min="45" max="45" width="12.7109375" bestFit="1" customWidth="1"/>
    <col min="46" max="46" width="12.42578125" bestFit="1" customWidth="1"/>
    <col min="47" max="47" width="14" bestFit="1" customWidth="1"/>
    <col min="48" max="48" width="12.7109375" bestFit="1" customWidth="1"/>
    <col min="49" max="49" width="10.42578125" bestFit="1" customWidth="1"/>
    <col min="50" max="50" width="6" bestFit="1" customWidth="1"/>
    <col min="51" max="51" width="5.28515625" bestFit="1" customWidth="1"/>
    <col min="52" max="52" width="8.85546875" bestFit="1" customWidth="1"/>
    <col min="53" max="53" width="7.85546875" bestFit="1" customWidth="1"/>
    <col min="54" max="54" width="11.7109375" bestFit="1" customWidth="1"/>
    <col min="55" max="55" width="13.140625" bestFit="1" customWidth="1"/>
    <col min="56" max="56" width="10.140625" bestFit="1" customWidth="1"/>
    <col min="57" max="57" width="9.42578125" bestFit="1" customWidth="1"/>
    <col min="58" max="58" width="11.28515625" bestFit="1" customWidth="1"/>
    <col min="59" max="59" width="9.42578125" bestFit="1" customWidth="1"/>
    <col min="60" max="60" width="11.140625" bestFit="1" customWidth="1"/>
    <col min="61" max="61" width="9.42578125" bestFit="1" customWidth="1"/>
    <col min="62" max="62" width="12.140625" bestFit="1" customWidth="1"/>
    <col min="63" max="65" width="9.42578125" bestFit="1" customWidth="1"/>
    <col min="66" max="66" width="7" bestFit="1" customWidth="1"/>
    <col min="67" max="67" width="9.42578125" bestFit="1" customWidth="1"/>
    <col min="68" max="68" width="8.7109375" bestFit="1" customWidth="1"/>
    <col min="69" max="69" width="9.42578125" bestFit="1" customWidth="1"/>
    <col min="70" max="70" width="7.85546875" bestFit="1" customWidth="1"/>
    <col min="71" max="73" width="9.42578125" bestFit="1" customWidth="1"/>
    <col min="74" max="74" width="9.140625" bestFit="1" customWidth="1"/>
    <col min="75" max="75" width="9.42578125" bestFit="1" customWidth="1"/>
    <col min="76" max="76" width="10.42578125" bestFit="1" customWidth="1"/>
    <col min="77" max="77" width="9.42578125" bestFit="1" customWidth="1"/>
    <col min="78" max="78" width="14" bestFit="1" customWidth="1"/>
    <col min="79" max="79" width="7.85546875" bestFit="1" customWidth="1"/>
    <col min="80" max="81" width="9.42578125" bestFit="1" customWidth="1"/>
    <col min="82" max="82" width="10" bestFit="1" customWidth="1"/>
    <col min="83" max="83" width="9.42578125" bestFit="1" customWidth="1"/>
    <col min="84" max="84" width="7.7109375" bestFit="1" customWidth="1"/>
    <col min="85" max="85" width="9.42578125" bestFit="1" customWidth="1"/>
    <col min="86" max="86" width="8.85546875" bestFit="1" customWidth="1"/>
    <col min="87" max="87" width="9.42578125" bestFit="1" customWidth="1"/>
    <col min="88" max="88" width="14" bestFit="1" customWidth="1"/>
    <col min="89" max="89" width="9.42578125" bestFit="1" customWidth="1"/>
    <col min="90" max="90" width="8.7109375" bestFit="1" customWidth="1"/>
    <col min="91" max="91" width="9.42578125" bestFit="1" customWidth="1"/>
    <col min="92" max="92" width="10.85546875" bestFit="1" customWidth="1"/>
    <col min="93" max="93" width="9.42578125" bestFit="1" customWidth="1"/>
    <col min="94" max="94" width="8" bestFit="1" customWidth="1"/>
    <col min="95" max="95" width="9.42578125" bestFit="1" customWidth="1"/>
    <col min="96" max="96" width="6.85546875" bestFit="1" customWidth="1"/>
    <col min="97" max="97" width="9.42578125" bestFit="1" customWidth="1"/>
    <col min="98" max="98" width="9.28515625" bestFit="1" customWidth="1"/>
    <col min="99" max="99" width="9.42578125" bestFit="1" customWidth="1"/>
    <col min="100" max="100" width="7" bestFit="1" customWidth="1"/>
    <col min="101" max="101" width="7.85546875" bestFit="1" customWidth="1"/>
    <col min="102" max="102" width="7.140625" bestFit="1" customWidth="1"/>
    <col min="103" max="103" width="9.42578125" bestFit="1" customWidth="1"/>
    <col min="104" max="104" width="11.28515625" bestFit="1" customWidth="1"/>
  </cols>
  <sheetData>
    <row r="1" spans="1:11" ht="15.75" x14ac:dyDescent="0.25">
      <c r="A1" s="2" t="s">
        <v>7</v>
      </c>
      <c r="B1" s="2" t="s">
        <v>110</v>
      </c>
      <c r="C1" s="2" t="s">
        <v>275</v>
      </c>
      <c r="D1" s="2" t="s">
        <v>276</v>
      </c>
      <c r="E1" s="2" t="s">
        <v>277</v>
      </c>
      <c r="F1" s="2" t="s">
        <v>278</v>
      </c>
    </row>
    <row r="2" spans="1:11" ht="15.75" x14ac:dyDescent="0.25">
      <c r="A2" s="2" t="s">
        <v>11</v>
      </c>
      <c r="B2" t="s">
        <v>10</v>
      </c>
      <c r="C2" s="2">
        <v>62.8</v>
      </c>
      <c r="D2" s="2">
        <v>56.9</v>
      </c>
      <c r="E2" s="2">
        <v>75</v>
      </c>
      <c r="F2" s="2">
        <v>52.2</v>
      </c>
    </row>
    <row r="3" spans="1:11" ht="15.75" x14ac:dyDescent="0.25">
      <c r="A3" s="2" t="s">
        <v>13</v>
      </c>
      <c r="B3" t="s">
        <v>12</v>
      </c>
      <c r="C3" s="2">
        <v>26.6</v>
      </c>
      <c r="D3" s="2">
        <v>37.6</v>
      </c>
      <c r="E3" s="2">
        <v>35.5</v>
      </c>
      <c r="F3" s="2">
        <v>20.399999999999999</v>
      </c>
    </row>
    <row r="4" spans="1:11" ht="15.75" x14ac:dyDescent="0.25">
      <c r="A4" s="2" t="s">
        <v>15</v>
      </c>
      <c r="B4" t="s">
        <v>14</v>
      </c>
      <c r="C4" s="2">
        <v>60.3</v>
      </c>
      <c r="D4" s="2">
        <v>11.6</v>
      </c>
      <c r="E4" s="2">
        <v>75.3</v>
      </c>
      <c r="F4" s="2">
        <v>46.8</v>
      </c>
    </row>
    <row r="5" spans="1:11" ht="15.75" x14ac:dyDescent="0.25">
      <c r="A5" s="2" t="s">
        <v>17</v>
      </c>
      <c r="B5" t="s">
        <v>16</v>
      </c>
      <c r="C5" s="2">
        <v>60.4</v>
      </c>
      <c r="D5" s="2">
        <v>52.5</v>
      </c>
      <c r="E5" s="2">
        <v>71.8</v>
      </c>
      <c r="F5" s="2">
        <v>50.2</v>
      </c>
    </row>
    <row r="6" spans="1:11" ht="15.75" x14ac:dyDescent="0.25">
      <c r="A6" s="2" t="s">
        <v>19</v>
      </c>
      <c r="B6" t="s">
        <v>18</v>
      </c>
      <c r="C6" s="2">
        <v>59.4</v>
      </c>
      <c r="D6" s="2">
        <v>22.3</v>
      </c>
      <c r="E6" s="2">
        <v>71.5</v>
      </c>
      <c r="F6" s="2">
        <v>46.5</v>
      </c>
    </row>
    <row r="7" spans="1:11" ht="15.75" x14ac:dyDescent="0.25">
      <c r="A7" s="2" t="s">
        <v>21</v>
      </c>
      <c r="B7" t="s">
        <v>20</v>
      </c>
      <c r="C7" s="2">
        <v>45.1</v>
      </c>
      <c r="D7" s="2">
        <v>18</v>
      </c>
      <c r="E7" s="2">
        <v>60</v>
      </c>
      <c r="F7" s="2">
        <v>32.4</v>
      </c>
    </row>
    <row r="8" spans="1:11" ht="15.75" x14ac:dyDescent="0.25">
      <c r="A8" s="2" t="s">
        <v>23</v>
      </c>
      <c r="B8" t="s">
        <v>22</v>
      </c>
      <c r="C8" s="2">
        <v>49</v>
      </c>
      <c r="D8" s="2">
        <v>48.7</v>
      </c>
      <c r="E8" s="2">
        <v>60</v>
      </c>
      <c r="F8" s="2">
        <v>39.799999999999997</v>
      </c>
    </row>
    <row r="9" spans="1:11" ht="18.75" customHeight="1" x14ac:dyDescent="0.3">
      <c r="A9" s="2" t="s">
        <v>25</v>
      </c>
      <c r="B9" t="s">
        <v>24</v>
      </c>
      <c r="C9" s="2">
        <v>55.3</v>
      </c>
      <c r="D9" s="2">
        <v>45.9</v>
      </c>
      <c r="E9" s="2">
        <v>66.099999999999994</v>
      </c>
      <c r="F9" s="2">
        <v>46.3</v>
      </c>
      <c r="H9" s="72" t="s">
        <v>351</v>
      </c>
      <c r="I9" s="72"/>
      <c r="J9" s="72"/>
      <c r="K9" s="72"/>
    </row>
    <row r="10" spans="1:11" ht="18.75" customHeight="1" x14ac:dyDescent="0.3">
      <c r="A10" s="2" t="s">
        <v>27</v>
      </c>
      <c r="B10" t="s">
        <v>26</v>
      </c>
      <c r="C10" s="2">
        <v>70.7</v>
      </c>
      <c r="D10" s="2">
        <v>54.4</v>
      </c>
      <c r="E10" s="2">
        <v>81.900000000000006</v>
      </c>
      <c r="F10" s="2">
        <v>60.9</v>
      </c>
      <c r="H10" s="72" t="s">
        <v>352</v>
      </c>
      <c r="I10" s="72"/>
      <c r="J10" s="72"/>
      <c r="K10" s="72"/>
    </row>
    <row r="11" spans="1:11" ht="15.75" x14ac:dyDescent="0.25">
      <c r="A11" s="2" t="s">
        <v>29</v>
      </c>
      <c r="B11" t="s">
        <v>28</v>
      </c>
      <c r="C11" s="2">
        <v>63.5</v>
      </c>
      <c r="D11" s="2">
        <v>50.4</v>
      </c>
      <c r="E11" s="2">
        <v>75.599999999999994</v>
      </c>
      <c r="F11" s="2">
        <v>52.7</v>
      </c>
    </row>
    <row r="12" spans="1:11" ht="15.75" x14ac:dyDescent="0.25">
      <c r="A12" s="2" t="s">
        <v>31</v>
      </c>
      <c r="B12" t="s">
        <v>30</v>
      </c>
      <c r="C12" s="2">
        <v>70</v>
      </c>
      <c r="D12" s="2">
        <v>43.2</v>
      </c>
      <c r="E12" s="2">
        <v>80.400000000000006</v>
      </c>
      <c r="F12" s="2">
        <v>66.599999999999994</v>
      </c>
    </row>
    <row r="13" spans="1:11" ht="15.75" x14ac:dyDescent="0.25">
      <c r="A13" s="2" t="s">
        <v>33</v>
      </c>
      <c r="B13" t="s">
        <v>32</v>
      </c>
      <c r="C13" s="2">
        <v>44.4</v>
      </c>
      <c r="D13" s="2">
        <v>23.7</v>
      </c>
      <c r="E13" s="2">
        <v>55.7</v>
      </c>
      <c r="F13" s="2">
        <v>32.1</v>
      </c>
    </row>
    <row r="14" spans="1:11" ht="15.75" x14ac:dyDescent="0.25">
      <c r="A14" s="2" t="s">
        <v>35</v>
      </c>
      <c r="B14" t="s">
        <v>34</v>
      </c>
      <c r="C14" s="2">
        <v>51.8</v>
      </c>
      <c r="D14" s="2">
        <v>40.700000000000003</v>
      </c>
      <c r="E14" s="2">
        <v>62.7</v>
      </c>
      <c r="F14" s="2">
        <v>42.6</v>
      </c>
    </row>
    <row r="15" spans="1:11" ht="15.75" x14ac:dyDescent="0.25">
      <c r="A15" s="2" t="s">
        <v>37</v>
      </c>
      <c r="B15" t="s">
        <v>36</v>
      </c>
      <c r="C15" s="2">
        <v>51.7</v>
      </c>
      <c r="D15" s="2">
        <v>43.6</v>
      </c>
      <c r="E15" s="2">
        <v>62.5</v>
      </c>
      <c r="F15" s="2">
        <v>42.2</v>
      </c>
    </row>
    <row r="16" spans="1:11" ht="15.75" x14ac:dyDescent="0.25">
      <c r="A16" s="2" t="s">
        <v>39</v>
      </c>
      <c r="B16" t="s">
        <v>38</v>
      </c>
      <c r="C16" s="2">
        <v>47.8</v>
      </c>
      <c r="D16" s="2">
        <v>35.6</v>
      </c>
      <c r="E16" s="2">
        <v>58.5</v>
      </c>
      <c r="F16" s="2">
        <v>38.1</v>
      </c>
    </row>
    <row r="17" spans="1:6" ht="15.75" x14ac:dyDescent="0.25">
      <c r="A17" s="2" t="s">
        <v>41</v>
      </c>
      <c r="B17" t="s">
        <v>40</v>
      </c>
      <c r="C17" s="2">
        <v>54.3</v>
      </c>
      <c r="D17" s="2">
        <v>29</v>
      </c>
      <c r="E17" s="2">
        <v>67.5</v>
      </c>
      <c r="F17" s="2">
        <v>42.6</v>
      </c>
    </row>
    <row r="18" spans="1:6" ht="15.75" x14ac:dyDescent="0.25">
      <c r="A18" s="2" t="s">
        <v>43</v>
      </c>
      <c r="B18" t="s">
        <v>42</v>
      </c>
      <c r="C18" s="2">
        <v>55.6</v>
      </c>
      <c r="D18" s="2">
        <v>50.4</v>
      </c>
      <c r="E18" s="2">
        <v>67.2</v>
      </c>
      <c r="F18" s="2">
        <v>45.4</v>
      </c>
    </row>
    <row r="19" spans="1:6" ht="15.75" x14ac:dyDescent="0.25">
      <c r="A19" s="2" t="s">
        <v>45</v>
      </c>
      <c r="B19" t="s">
        <v>44</v>
      </c>
      <c r="C19" s="2">
        <v>66.400000000000006</v>
      </c>
      <c r="D19" s="2">
        <v>59.7</v>
      </c>
      <c r="E19" s="2">
        <v>77.5</v>
      </c>
      <c r="F19" s="2">
        <v>56.7</v>
      </c>
    </row>
    <row r="20" spans="1:6" ht="15.75" x14ac:dyDescent="0.25">
      <c r="A20" s="2" t="s">
        <v>47</v>
      </c>
      <c r="B20" t="s">
        <v>46</v>
      </c>
      <c r="C20" s="2">
        <v>41</v>
      </c>
      <c r="D20" s="2">
        <v>45.5</v>
      </c>
      <c r="E20" s="2">
        <v>51.9</v>
      </c>
      <c r="F20" s="2">
        <v>31.7</v>
      </c>
    </row>
    <row r="21" spans="1:6" ht="15.75" x14ac:dyDescent="0.25">
      <c r="A21" s="2" t="s">
        <v>49</v>
      </c>
      <c r="B21" t="s">
        <v>48</v>
      </c>
      <c r="C21" s="2">
        <v>54.2</v>
      </c>
      <c r="D21" s="2">
        <v>45.2</v>
      </c>
      <c r="E21" s="2">
        <v>65.400000000000006</v>
      </c>
      <c r="F21" s="2">
        <v>45.4</v>
      </c>
    </row>
    <row r="22" spans="1:6" ht="15.75" x14ac:dyDescent="0.25">
      <c r="A22" s="2" t="s">
        <v>51</v>
      </c>
      <c r="B22" t="s">
        <v>50</v>
      </c>
      <c r="C22" s="2">
        <v>47.9</v>
      </c>
      <c r="D22" s="2">
        <v>48.6</v>
      </c>
      <c r="E22" s="2">
        <v>58.8</v>
      </c>
      <c r="F22" s="2">
        <v>38.700000000000003</v>
      </c>
    </row>
    <row r="23" spans="1:6" ht="15.75" x14ac:dyDescent="0.25">
      <c r="A23" s="2" t="s">
        <v>53</v>
      </c>
      <c r="B23" t="s">
        <v>52</v>
      </c>
      <c r="C23" s="2">
        <v>44.4</v>
      </c>
      <c r="D23" s="2">
        <v>33.9</v>
      </c>
      <c r="E23" s="2">
        <v>55</v>
      </c>
      <c r="F23" s="2">
        <v>35.299999999999997</v>
      </c>
    </row>
    <row r="24" spans="1:6" ht="15.75" x14ac:dyDescent="0.25">
      <c r="A24" s="2" t="s">
        <v>55</v>
      </c>
      <c r="B24" t="s">
        <v>54</v>
      </c>
      <c r="C24" s="2">
        <v>41.2</v>
      </c>
      <c r="D24" s="2">
        <v>28.6</v>
      </c>
      <c r="E24" s="2">
        <v>51.9</v>
      </c>
      <c r="F24" s="2">
        <v>31.4</v>
      </c>
    </row>
    <row r="25" spans="1:6" ht="15.75" x14ac:dyDescent="0.25">
      <c r="A25" s="2" t="s">
        <v>57</v>
      </c>
      <c r="B25" t="s">
        <v>56</v>
      </c>
      <c r="C25" s="2">
        <v>63.4</v>
      </c>
      <c r="D25" s="2">
        <v>58.5</v>
      </c>
      <c r="E25" s="2">
        <v>75.3</v>
      </c>
      <c r="F25" s="2">
        <v>53</v>
      </c>
    </row>
    <row r="26" spans="1:6" ht="15.75" x14ac:dyDescent="0.25">
      <c r="A26" s="2" t="s">
        <v>59</v>
      </c>
      <c r="B26" t="s">
        <v>58</v>
      </c>
      <c r="C26" s="2">
        <v>54.5</v>
      </c>
      <c r="D26" s="2">
        <v>43.5</v>
      </c>
      <c r="E26" s="2">
        <v>66</v>
      </c>
      <c r="F26" s="2">
        <v>44.5</v>
      </c>
    </row>
    <row r="27" spans="1:6" ht="15.75" x14ac:dyDescent="0.25">
      <c r="A27" s="2" t="s">
        <v>61</v>
      </c>
      <c r="B27" t="s">
        <v>60</v>
      </c>
      <c r="C27" s="2">
        <v>42.7</v>
      </c>
      <c r="D27" s="2">
        <v>18.899999999999999</v>
      </c>
      <c r="E27" s="2">
        <v>54.7</v>
      </c>
      <c r="F27" s="2">
        <v>30.4</v>
      </c>
    </row>
    <row r="28" spans="1:6" ht="15.75" x14ac:dyDescent="0.25">
      <c r="A28" s="2" t="s">
        <v>63</v>
      </c>
      <c r="B28" t="s">
        <v>62</v>
      </c>
      <c r="C28" s="2">
        <v>48.8</v>
      </c>
      <c r="D28" s="2">
        <v>24.2</v>
      </c>
      <c r="E28" s="2">
        <v>61.9</v>
      </c>
      <c r="F28" s="2">
        <v>36.9</v>
      </c>
    </row>
    <row r="29" spans="1:6" ht="15.75" x14ac:dyDescent="0.25">
      <c r="A29" s="2" t="s">
        <v>65</v>
      </c>
      <c r="B29" t="s">
        <v>64</v>
      </c>
      <c r="C29" s="2">
        <v>49.9</v>
      </c>
      <c r="D29" s="2">
        <v>10.199999999999999</v>
      </c>
      <c r="E29" s="2">
        <v>64.599999999999994</v>
      </c>
      <c r="F29" s="2">
        <v>37.4</v>
      </c>
    </row>
    <row r="30" spans="1:6" ht="15.75" x14ac:dyDescent="0.25">
      <c r="A30" s="2" t="s">
        <v>67</v>
      </c>
      <c r="B30" t="s">
        <v>66</v>
      </c>
      <c r="C30" s="2">
        <v>43.8</v>
      </c>
      <c r="D30" s="2">
        <v>47.9</v>
      </c>
      <c r="E30" s="2">
        <v>54.7</v>
      </c>
      <c r="F30" s="2">
        <v>33.299999999999997</v>
      </c>
    </row>
    <row r="31" spans="1:6" ht="15.75" x14ac:dyDescent="0.25">
      <c r="A31" s="2" t="s">
        <v>69</v>
      </c>
      <c r="B31" t="s">
        <v>68</v>
      </c>
      <c r="C31" s="2">
        <v>52.7</v>
      </c>
      <c r="D31" s="2">
        <v>47.6</v>
      </c>
      <c r="E31" s="2">
        <v>63.6</v>
      </c>
      <c r="F31" s="2">
        <v>43.6</v>
      </c>
    </row>
    <row r="32" spans="1:6" ht="15.75" x14ac:dyDescent="0.25">
      <c r="A32" s="2" t="s">
        <v>71</v>
      </c>
      <c r="B32" t="s">
        <v>70</v>
      </c>
      <c r="C32" s="2">
        <v>53.4</v>
      </c>
      <c r="D32" s="2">
        <v>13.8</v>
      </c>
      <c r="E32" s="2">
        <v>69.5</v>
      </c>
      <c r="F32" s="2">
        <v>39.4</v>
      </c>
    </row>
    <row r="33" spans="1:6" ht="15.75" x14ac:dyDescent="0.25">
      <c r="A33" s="2" t="s">
        <v>73</v>
      </c>
      <c r="B33" t="s">
        <v>72</v>
      </c>
      <c r="C33" s="2">
        <v>45.4</v>
      </c>
      <c r="D33" s="2">
        <v>43.5</v>
      </c>
      <c r="E33" s="2">
        <v>55.9</v>
      </c>
      <c r="F33" s="2">
        <v>36.1</v>
      </c>
    </row>
    <row r="34" spans="1:6" ht="15.75" x14ac:dyDescent="0.25">
      <c r="A34" s="2" t="s">
        <v>75</v>
      </c>
      <c r="B34" t="s">
        <v>74</v>
      </c>
      <c r="C34" s="2">
        <v>59</v>
      </c>
      <c r="D34" s="2">
        <v>50.8</v>
      </c>
      <c r="E34" s="2">
        <v>70.5</v>
      </c>
      <c r="F34" s="2">
        <v>48.6</v>
      </c>
    </row>
    <row r="35" spans="1:6" ht="15.75" x14ac:dyDescent="0.25">
      <c r="A35" s="2" t="s">
        <v>77</v>
      </c>
      <c r="B35" t="s">
        <v>76</v>
      </c>
      <c r="C35" s="2">
        <v>40.4</v>
      </c>
      <c r="D35" s="2">
        <v>18.8</v>
      </c>
      <c r="E35" s="2">
        <v>52.2</v>
      </c>
      <c r="F35" s="2">
        <v>29.8</v>
      </c>
    </row>
    <row r="36" spans="1:6" ht="15.75" x14ac:dyDescent="0.25">
      <c r="A36" s="2" t="s">
        <v>79</v>
      </c>
      <c r="B36" t="s">
        <v>78</v>
      </c>
      <c r="C36" s="2">
        <v>50.7</v>
      </c>
      <c r="D36" s="2">
        <v>41.1</v>
      </c>
      <c r="E36" s="2">
        <v>61.7</v>
      </c>
      <c r="F36" s="2">
        <v>41.6</v>
      </c>
    </row>
    <row r="37" spans="1:6" ht="15.75" x14ac:dyDescent="0.25">
      <c r="A37" s="2" t="s">
        <v>81</v>
      </c>
      <c r="B37" t="s">
        <v>80</v>
      </c>
      <c r="C37" s="2">
        <v>59.6</v>
      </c>
      <c r="D37" s="2">
        <v>36.4</v>
      </c>
      <c r="E37" s="2">
        <v>72.3</v>
      </c>
      <c r="F37" s="2">
        <v>48.3</v>
      </c>
    </row>
    <row r="38" spans="1:6" ht="15.75" x14ac:dyDescent="0.25">
      <c r="A38" s="2" t="s">
        <v>83</v>
      </c>
      <c r="B38" t="s">
        <v>82</v>
      </c>
      <c r="C38" s="2">
        <v>48.4</v>
      </c>
      <c r="D38" s="2">
        <v>32.1</v>
      </c>
      <c r="E38" s="2">
        <v>59.4</v>
      </c>
      <c r="F38" s="2">
        <v>36.4</v>
      </c>
    </row>
    <row r="39" spans="1:6" ht="15.75" x14ac:dyDescent="0.25">
      <c r="A39" s="2" t="s">
        <v>85</v>
      </c>
      <c r="B39" t="s">
        <v>84</v>
      </c>
      <c r="C39" s="2">
        <v>48.8</v>
      </c>
      <c r="D39" s="2">
        <v>45</v>
      </c>
      <c r="E39" s="2">
        <v>59.7</v>
      </c>
      <c r="F39" s="2">
        <v>39.200000000000003</v>
      </c>
    </row>
    <row r="40" spans="1:6" ht="15.75" x14ac:dyDescent="0.25">
      <c r="A40" s="2" t="s">
        <v>87</v>
      </c>
      <c r="B40" t="s">
        <v>86</v>
      </c>
      <c r="C40" s="2">
        <v>50.1</v>
      </c>
      <c r="D40" s="2">
        <v>49.1</v>
      </c>
      <c r="E40" s="2">
        <v>60</v>
      </c>
      <c r="F40" s="2">
        <v>41.3</v>
      </c>
    </row>
    <row r="41" spans="1:6" ht="15.75" x14ac:dyDescent="0.25">
      <c r="A41" s="2" t="s">
        <v>89</v>
      </c>
      <c r="B41" t="s">
        <v>88</v>
      </c>
      <c r="C41" s="2">
        <v>62.4</v>
      </c>
      <c r="D41" s="2">
        <v>48.3</v>
      </c>
      <c r="E41" s="2">
        <v>74.7</v>
      </c>
      <c r="F41" s="2">
        <v>52</v>
      </c>
    </row>
    <row r="42" spans="1:6" ht="15.75" x14ac:dyDescent="0.25">
      <c r="A42" s="2" t="s">
        <v>91</v>
      </c>
      <c r="B42" t="s">
        <v>90</v>
      </c>
      <c r="C42" s="2">
        <v>45.2</v>
      </c>
      <c r="D42" s="2">
        <v>21.2</v>
      </c>
      <c r="E42" s="2">
        <v>57.5</v>
      </c>
      <c r="F42" s="2">
        <v>33.799999999999997</v>
      </c>
    </row>
    <row r="43" spans="1:6" ht="15.75" x14ac:dyDescent="0.25">
      <c r="A43" s="2" t="s">
        <v>93</v>
      </c>
      <c r="B43" t="s">
        <v>92</v>
      </c>
      <c r="C43" s="2">
        <v>57.6</v>
      </c>
      <c r="D43" s="2">
        <v>55.1</v>
      </c>
      <c r="E43" s="2">
        <v>69.400000000000006</v>
      </c>
      <c r="F43" s="2">
        <v>47.5</v>
      </c>
    </row>
    <row r="44" spans="1:6" ht="15.75" x14ac:dyDescent="0.25">
      <c r="A44" s="2" t="s">
        <v>95</v>
      </c>
      <c r="B44" t="s">
        <v>94</v>
      </c>
      <c r="C44" s="2">
        <v>64.8</v>
      </c>
      <c r="D44" s="2">
        <v>28.6</v>
      </c>
      <c r="E44" s="2">
        <v>78.099999999999994</v>
      </c>
      <c r="F44" s="2">
        <v>53.5</v>
      </c>
    </row>
    <row r="45" spans="1:6" ht="15.75" x14ac:dyDescent="0.25">
      <c r="A45" s="2" t="s">
        <v>97</v>
      </c>
      <c r="B45" t="s">
        <v>96</v>
      </c>
      <c r="C45" s="2">
        <v>48.6</v>
      </c>
      <c r="D45" s="2">
        <v>13.5</v>
      </c>
      <c r="E45" s="2">
        <v>62</v>
      </c>
      <c r="F45" s="2">
        <v>36.4</v>
      </c>
    </row>
    <row r="46" spans="1:6" ht="15.75" x14ac:dyDescent="0.25">
      <c r="A46" s="2" t="s">
        <v>99</v>
      </c>
      <c r="B46" t="s">
        <v>98</v>
      </c>
      <c r="C46" s="2">
        <v>42.9</v>
      </c>
      <c r="D46" s="2">
        <v>46</v>
      </c>
      <c r="E46" s="2">
        <v>53.4</v>
      </c>
      <c r="F46" s="2">
        <v>32.700000000000003</v>
      </c>
    </row>
    <row r="47" spans="1:6" ht="15.75" x14ac:dyDescent="0.25">
      <c r="A47" s="2" t="s">
        <v>101</v>
      </c>
      <c r="B47" t="s">
        <v>100</v>
      </c>
      <c r="C47" s="2">
        <v>55.1</v>
      </c>
      <c r="D47" s="2">
        <v>45.8</v>
      </c>
      <c r="E47" s="2">
        <v>66.900000000000006</v>
      </c>
      <c r="F47" s="2">
        <v>45.1</v>
      </c>
    </row>
    <row r="48" spans="1:6" ht="15.75" x14ac:dyDescent="0.25">
      <c r="A48" s="2" t="s">
        <v>103</v>
      </c>
      <c r="B48" t="s">
        <v>102</v>
      </c>
      <c r="C48" s="2">
        <v>48.3</v>
      </c>
      <c r="D48" s="2">
        <v>43.2</v>
      </c>
      <c r="E48" s="2">
        <v>57</v>
      </c>
      <c r="F48" s="2">
        <v>37.6</v>
      </c>
    </row>
    <row r="49" spans="1:6" ht="15.75" x14ac:dyDescent="0.25">
      <c r="A49" s="2" t="s">
        <v>105</v>
      </c>
      <c r="B49" t="s">
        <v>104</v>
      </c>
      <c r="C49" s="2">
        <v>51.8</v>
      </c>
      <c r="D49" s="2">
        <v>47.1</v>
      </c>
      <c r="E49" s="2">
        <v>63.5</v>
      </c>
      <c r="F49" s="2">
        <v>41.7</v>
      </c>
    </row>
    <row r="50" spans="1:6" ht="15.75" x14ac:dyDescent="0.25">
      <c r="A50" s="2" t="s">
        <v>107</v>
      </c>
      <c r="B50" t="s">
        <v>106</v>
      </c>
      <c r="C50" s="2">
        <v>43.1</v>
      </c>
      <c r="D50" s="2">
        <v>34.1</v>
      </c>
      <c r="E50" s="2">
        <v>54</v>
      </c>
      <c r="F50" s="2">
        <v>33.700000000000003</v>
      </c>
    </row>
    <row r="51" spans="1:6" ht="15.75" x14ac:dyDescent="0.25">
      <c r="A51" s="2" t="s">
        <v>109</v>
      </c>
      <c r="B51" t="s">
        <v>108</v>
      </c>
      <c r="C51" s="2">
        <v>42</v>
      </c>
      <c r="D51" s="2">
        <v>16</v>
      </c>
      <c r="E51" s="2">
        <v>55.2</v>
      </c>
      <c r="F51" s="2">
        <v>29.3</v>
      </c>
    </row>
  </sheetData>
  <mergeCells count="2">
    <mergeCell ref="H9:K9"/>
    <mergeCell ref="H10:K10"/>
  </mergeCells>
  <conditionalFormatting sqref="C1:C1048576">
    <cfRule type="top10" dxfId="78" priority="2" rank="3"/>
    <cfRule type="top10" dxfId="77" priority="1" bottom="1" rank="3"/>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Dashboard">
                <anchor moveWithCells="1" sizeWithCells="1">
                  <from>
                    <xdr:col>7</xdr:col>
                    <xdr:colOff>0</xdr:colOff>
                    <xdr:row>2</xdr:row>
                    <xdr:rowOff>0</xdr:rowOff>
                  </from>
                  <to>
                    <xdr:col>9</xdr:col>
                    <xdr:colOff>0</xdr:colOff>
                    <xdr:row>5</xdr:row>
                    <xdr:rowOff>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7F47F-33F8-9647-A3CA-B047A61B8D34}">
  <sheetPr codeName="Sheet7">
    <tabColor theme="7"/>
  </sheetPr>
  <dimension ref="A1:G51"/>
  <sheetViews>
    <sheetView zoomScale="90" zoomScaleNormal="90" workbookViewId="0"/>
  </sheetViews>
  <sheetFormatPr defaultColWidth="11.42578125" defaultRowHeight="15" x14ac:dyDescent="0.25"/>
  <cols>
    <col min="1" max="1" width="14.140625" bestFit="1" customWidth="1"/>
    <col min="2" max="3" width="28.5703125" bestFit="1" customWidth="1"/>
    <col min="5" max="5" width="13.140625" bestFit="1" customWidth="1"/>
    <col min="6" max="7" width="31.140625" bestFit="1" customWidth="1"/>
  </cols>
  <sheetData>
    <row r="1" spans="1:7" ht="15.75" x14ac:dyDescent="0.25">
      <c r="A1" s="16" t="s">
        <v>7</v>
      </c>
      <c r="B1" s="16" t="s">
        <v>279</v>
      </c>
      <c r="C1" s="16" t="s">
        <v>280</v>
      </c>
      <c r="D1" s="16" t="s">
        <v>281</v>
      </c>
    </row>
    <row r="2" spans="1:7" ht="15.75" x14ac:dyDescent="0.25">
      <c r="A2" s="2" t="s">
        <v>11</v>
      </c>
      <c r="B2" s="15">
        <v>3.4000000000000002E-2</v>
      </c>
      <c r="C2" s="15">
        <v>2.5999999999999999E-2</v>
      </c>
      <c r="D2" s="2" t="s">
        <v>10</v>
      </c>
    </row>
    <row r="3" spans="1:7" ht="15.75" x14ac:dyDescent="0.25">
      <c r="A3" s="2" t="s">
        <v>13</v>
      </c>
      <c r="B3" s="15">
        <v>6.4000000000000001E-2</v>
      </c>
      <c r="C3" s="15">
        <v>4.3999999999999997E-2</v>
      </c>
      <c r="D3" s="2" t="s">
        <v>12</v>
      </c>
    </row>
    <row r="4" spans="1:7" ht="15.75" x14ac:dyDescent="0.25">
      <c r="A4" s="2" t="s">
        <v>15</v>
      </c>
      <c r="B4" s="15">
        <v>5.0999999999999997E-2</v>
      </c>
      <c r="C4" s="15">
        <v>3.7999999999999999E-2</v>
      </c>
      <c r="D4" s="2" t="s">
        <v>14</v>
      </c>
    </row>
    <row r="5" spans="1:7" ht="15.75" x14ac:dyDescent="0.25">
      <c r="A5" s="2" t="s">
        <v>17</v>
      </c>
      <c r="B5" s="15">
        <v>4.1000000000000002E-2</v>
      </c>
      <c r="C5" s="15">
        <v>3.3000000000000002E-2</v>
      </c>
      <c r="D5" s="2" t="s">
        <v>16</v>
      </c>
    </row>
    <row r="6" spans="1:7" ht="15.75" x14ac:dyDescent="0.25">
      <c r="A6" s="2" t="s">
        <v>19</v>
      </c>
      <c r="B6" s="15">
        <v>7.2999999999999995E-2</v>
      </c>
      <c r="C6" s="15">
        <v>4.2000000000000003E-2</v>
      </c>
      <c r="D6" s="2" t="s">
        <v>18</v>
      </c>
    </row>
    <row r="7" spans="1:7" ht="15.75" x14ac:dyDescent="0.25">
      <c r="A7" s="2" t="s">
        <v>21</v>
      </c>
      <c r="B7" s="15">
        <v>5.3999999999999999E-2</v>
      </c>
      <c r="C7" s="15">
        <v>0.03</v>
      </c>
      <c r="D7" s="2" t="s">
        <v>20</v>
      </c>
    </row>
    <row r="8" spans="1:7" ht="15.75" x14ac:dyDescent="0.25">
      <c r="A8" s="2" t="s">
        <v>23</v>
      </c>
      <c r="B8" s="15">
        <v>6.3E-2</v>
      </c>
      <c r="C8" s="15">
        <v>4.2000000000000003E-2</v>
      </c>
      <c r="D8" s="2" t="s">
        <v>22</v>
      </c>
    </row>
    <row r="9" spans="1:7" ht="18.75" x14ac:dyDescent="0.3">
      <c r="A9" s="2" t="s">
        <v>25</v>
      </c>
      <c r="B9" s="15">
        <v>5.5E-2</v>
      </c>
      <c r="C9" s="15">
        <v>4.4999999999999998E-2</v>
      </c>
      <c r="D9" s="2" t="s">
        <v>24</v>
      </c>
      <c r="F9" s="72" t="s">
        <v>349</v>
      </c>
      <c r="G9" s="72"/>
    </row>
    <row r="10" spans="1:7" ht="18.75" x14ac:dyDescent="0.3">
      <c r="A10" s="2" t="s">
        <v>27</v>
      </c>
      <c r="B10" s="15">
        <v>4.5999999999999999E-2</v>
      </c>
      <c r="C10" s="15">
        <v>2.9000000000000001E-2</v>
      </c>
      <c r="D10" s="2" t="s">
        <v>26</v>
      </c>
      <c r="F10" s="72" t="s">
        <v>350</v>
      </c>
      <c r="G10" s="72"/>
    </row>
    <row r="11" spans="1:7" ht="15.75" x14ac:dyDescent="0.25">
      <c r="A11" s="2" t="s">
        <v>29</v>
      </c>
      <c r="B11" s="15">
        <v>3.9E-2</v>
      </c>
      <c r="C11" s="15">
        <v>0.03</v>
      </c>
      <c r="D11" s="2" t="s">
        <v>28</v>
      </c>
    </row>
    <row r="12" spans="1:7" ht="15.75" x14ac:dyDescent="0.25">
      <c r="A12" s="2" t="s">
        <v>31</v>
      </c>
      <c r="B12" s="15">
        <v>0.06</v>
      </c>
      <c r="C12" s="15">
        <v>3.5000000000000003E-2</v>
      </c>
      <c r="D12" s="2" t="s">
        <v>30</v>
      </c>
    </row>
    <row r="13" spans="1:7" ht="15.75" x14ac:dyDescent="0.25">
      <c r="A13" s="2" t="s">
        <v>33</v>
      </c>
      <c r="B13" s="15">
        <v>3.5000000000000003E-2</v>
      </c>
      <c r="C13" s="15">
        <v>2.7E-2</v>
      </c>
      <c r="D13" s="2" t="s">
        <v>32</v>
      </c>
    </row>
    <row r="14" spans="1:7" ht="15.75" x14ac:dyDescent="0.25">
      <c r="A14" s="2" t="s">
        <v>35</v>
      </c>
      <c r="B14" s="15">
        <v>6.0999999999999999E-2</v>
      </c>
      <c r="C14" s="15">
        <v>4.5999999999999999E-2</v>
      </c>
      <c r="D14" s="2" t="s">
        <v>34</v>
      </c>
    </row>
    <row r="15" spans="1:7" ht="15.75" x14ac:dyDescent="0.25">
      <c r="A15" s="2" t="s">
        <v>37</v>
      </c>
      <c r="B15" s="15">
        <v>3.9E-2</v>
      </c>
      <c r="C15" s="15">
        <v>0.03</v>
      </c>
      <c r="D15" s="2" t="s">
        <v>36</v>
      </c>
    </row>
    <row r="16" spans="1:7" ht="15.75" x14ac:dyDescent="0.25">
      <c r="A16" s="2" t="s">
        <v>39</v>
      </c>
      <c r="B16" s="15">
        <v>3.7999999999999999E-2</v>
      </c>
      <c r="C16" s="15">
        <v>2.7E-2</v>
      </c>
      <c r="D16" s="2" t="s">
        <v>38</v>
      </c>
    </row>
    <row r="17" spans="1:4" ht="15.75" x14ac:dyDescent="0.25">
      <c r="A17" s="2" t="s">
        <v>41</v>
      </c>
      <c r="B17" s="15">
        <v>3.3000000000000002E-2</v>
      </c>
      <c r="C17" s="15">
        <v>2.7E-2</v>
      </c>
      <c r="D17" s="2" t="s">
        <v>40</v>
      </c>
    </row>
    <row r="18" spans="1:4" ht="15.75" x14ac:dyDescent="0.25">
      <c r="A18" s="2" t="s">
        <v>43</v>
      </c>
      <c r="B18" s="15">
        <v>4.3999999999999997E-2</v>
      </c>
      <c r="C18" s="15">
        <v>3.9E-2</v>
      </c>
      <c r="D18" s="2" t="s">
        <v>42</v>
      </c>
    </row>
    <row r="19" spans="1:4" ht="15.75" x14ac:dyDescent="0.25">
      <c r="A19" s="2" t="s">
        <v>45</v>
      </c>
      <c r="B19" s="15">
        <v>5.6000000000000001E-2</v>
      </c>
      <c r="C19" s="15">
        <v>3.6999999999999998E-2</v>
      </c>
      <c r="D19" s="2" t="s">
        <v>44</v>
      </c>
    </row>
    <row r="20" spans="1:4" ht="15.75" x14ac:dyDescent="0.25">
      <c r="A20" s="2" t="s">
        <v>47</v>
      </c>
      <c r="B20" s="15">
        <v>4.5999999999999999E-2</v>
      </c>
      <c r="C20" s="15">
        <v>0.03</v>
      </c>
      <c r="D20" s="2" t="s">
        <v>46</v>
      </c>
    </row>
    <row r="21" spans="1:4" ht="15.75" x14ac:dyDescent="0.25">
      <c r="A21" s="2" t="s">
        <v>49</v>
      </c>
      <c r="B21" s="15">
        <v>5.2999999999999999E-2</v>
      </c>
      <c r="C21" s="15">
        <v>3.2000000000000001E-2</v>
      </c>
      <c r="D21" s="2" t="s">
        <v>48</v>
      </c>
    </row>
    <row r="22" spans="1:4" ht="15.75" x14ac:dyDescent="0.25">
      <c r="A22" s="2" t="s">
        <v>51</v>
      </c>
      <c r="B22" s="15">
        <v>5.5E-2</v>
      </c>
      <c r="C22" s="15">
        <v>3.7999999999999999E-2</v>
      </c>
      <c r="D22" s="2" t="s">
        <v>50</v>
      </c>
    </row>
    <row r="23" spans="1:4" ht="15.75" x14ac:dyDescent="0.25">
      <c r="A23" s="2" t="s">
        <v>53</v>
      </c>
      <c r="B23" s="15">
        <v>5.8000000000000003E-2</v>
      </c>
      <c r="C23" s="15">
        <v>4.2000000000000003E-2</v>
      </c>
      <c r="D23" s="2" t="s">
        <v>52</v>
      </c>
    </row>
    <row r="24" spans="1:4" ht="15.75" x14ac:dyDescent="0.25">
      <c r="A24" s="2" t="s">
        <v>55</v>
      </c>
      <c r="B24" s="15">
        <v>3.7999999999999999E-2</v>
      </c>
      <c r="C24" s="15">
        <v>2.7E-2</v>
      </c>
      <c r="D24" s="2" t="s">
        <v>54</v>
      </c>
    </row>
    <row r="25" spans="1:4" ht="15.75" x14ac:dyDescent="0.25">
      <c r="A25" s="2" t="s">
        <v>57</v>
      </c>
      <c r="B25" s="15">
        <v>5.5E-2</v>
      </c>
      <c r="C25" s="15">
        <v>3.9E-2</v>
      </c>
      <c r="D25" s="2" t="s">
        <v>56</v>
      </c>
    </row>
    <row r="26" spans="1:4" ht="15.75" x14ac:dyDescent="0.25">
      <c r="A26" s="2" t="s">
        <v>59</v>
      </c>
      <c r="B26" s="15">
        <v>4.1000000000000002E-2</v>
      </c>
      <c r="C26" s="15">
        <v>2.5000000000000001E-2</v>
      </c>
      <c r="D26" s="2" t="s">
        <v>58</v>
      </c>
    </row>
    <row r="27" spans="1:4" ht="15.75" x14ac:dyDescent="0.25">
      <c r="A27" s="2" t="s">
        <v>61</v>
      </c>
      <c r="B27" s="15">
        <v>3.4000000000000002E-2</v>
      </c>
      <c r="C27" s="15">
        <v>2.5999999999999999E-2</v>
      </c>
      <c r="D27" s="2" t="s">
        <v>60</v>
      </c>
    </row>
    <row r="28" spans="1:4" ht="15.75" x14ac:dyDescent="0.25">
      <c r="A28" s="2" t="s">
        <v>63</v>
      </c>
      <c r="B28" s="15">
        <v>3.2000000000000001E-2</v>
      </c>
      <c r="C28" s="15">
        <v>2.7E-2</v>
      </c>
      <c r="D28" s="2" t="s">
        <v>62</v>
      </c>
    </row>
    <row r="29" spans="1:4" ht="15.75" x14ac:dyDescent="0.25">
      <c r="A29" s="2" t="s">
        <v>65</v>
      </c>
      <c r="B29" s="15">
        <v>6.3E-2</v>
      </c>
      <c r="C29" s="15">
        <v>5.7000000000000002E-2</v>
      </c>
      <c r="D29" s="2" t="s">
        <v>64</v>
      </c>
    </row>
    <row r="30" spans="1:4" ht="15.75" x14ac:dyDescent="0.25">
      <c r="A30" s="2" t="s">
        <v>67</v>
      </c>
      <c r="B30" s="15">
        <v>3.4000000000000002E-2</v>
      </c>
      <c r="C30" s="15">
        <v>2.5000000000000001E-2</v>
      </c>
      <c r="D30" s="2" t="s">
        <v>66</v>
      </c>
    </row>
    <row r="31" spans="1:4" ht="15.75" x14ac:dyDescent="0.25">
      <c r="A31" s="2" t="s">
        <v>69</v>
      </c>
      <c r="B31" s="15">
        <v>6.6000000000000003E-2</v>
      </c>
      <c r="C31" s="15">
        <v>3.6999999999999998E-2</v>
      </c>
      <c r="D31" s="2" t="s">
        <v>68</v>
      </c>
    </row>
    <row r="32" spans="1:4" ht="15.75" x14ac:dyDescent="0.25">
      <c r="A32" s="2" t="s">
        <v>71</v>
      </c>
      <c r="B32" s="15">
        <v>7.0999999999999994E-2</v>
      </c>
      <c r="C32" s="15">
        <v>0.04</v>
      </c>
      <c r="D32" s="2" t="s">
        <v>70</v>
      </c>
    </row>
    <row r="33" spans="1:4" ht="15.75" x14ac:dyDescent="0.25">
      <c r="A33" s="2" t="s">
        <v>73</v>
      </c>
      <c r="B33" s="15">
        <v>7.0000000000000007E-2</v>
      </c>
      <c r="C33" s="15">
        <v>4.2999999999999997E-2</v>
      </c>
      <c r="D33" s="2" t="s">
        <v>72</v>
      </c>
    </row>
    <row r="34" spans="1:4" ht="15.75" x14ac:dyDescent="0.25">
      <c r="A34" s="2" t="s">
        <v>75</v>
      </c>
      <c r="B34" s="15">
        <v>4.9000000000000002E-2</v>
      </c>
      <c r="C34" s="15">
        <v>3.6999999999999998E-2</v>
      </c>
      <c r="D34" s="2" t="s">
        <v>74</v>
      </c>
    </row>
    <row r="35" spans="1:4" ht="15.75" x14ac:dyDescent="0.25">
      <c r="A35" s="2" t="s">
        <v>77</v>
      </c>
      <c r="B35" s="15">
        <v>3.1E-2</v>
      </c>
      <c r="C35" s="15">
        <v>2.1000000000000001E-2</v>
      </c>
      <c r="D35" s="2" t="s">
        <v>76</v>
      </c>
    </row>
    <row r="36" spans="1:4" ht="15.75" x14ac:dyDescent="0.25">
      <c r="A36" s="2" t="s">
        <v>79</v>
      </c>
      <c r="B36" s="15">
        <v>5.0999999999999997E-2</v>
      </c>
      <c r="C36" s="15">
        <v>0.04</v>
      </c>
      <c r="D36" s="2" t="s">
        <v>78</v>
      </c>
    </row>
    <row r="37" spans="1:4" ht="15.75" x14ac:dyDescent="0.25">
      <c r="A37" s="2" t="s">
        <v>81</v>
      </c>
      <c r="B37" s="15">
        <v>0.04</v>
      </c>
      <c r="C37" s="15">
        <v>0.03</v>
      </c>
      <c r="D37" s="2" t="s">
        <v>80</v>
      </c>
    </row>
    <row r="38" spans="1:4" ht="15.75" x14ac:dyDescent="0.25">
      <c r="A38" s="2" t="s">
        <v>83</v>
      </c>
      <c r="B38" s="15">
        <v>5.1999999999999998E-2</v>
      </c>
      <c r="C38" s="15">
        <v>4.2000000000000003E-2</v>
      </c>
      <c r="D38" s="2" t="s">
        <v>82</v>
      </c>
    </row>
    <row r="39" spans="1:4" ht="15.75" x14ac:dyDescent="0.25">
      <c r="A39" s="2" t="s">
        <v>85</v>
      </c>
      <c r="B39" s="15">
        <v>0.06</v>
      </c>
      <c r="C39" s="15">
        <v>4.3999999999999997E-2</v>
      </c>
      <c r="D39" s="2" t="s">
        <v>84</v>
      </c>
    </row>
    <row r="40" spans="1:4" ht="15.75" x14ac:dyDescent="0.25">
      <c r="A40" s="2" t="s">
        <v>87</v>
      </c>
      <c r="B40" s="15">
        <v>5.5E-2</v>
      </c>
      <c r="C40" s="15">
        <v>3.2000000000000001E-2</v>
      </c>
      <c r="D40" s="2" t="s">
        <v>86</v>
      </c>
    </row>
    <row r="41" spans="1:4" ht="15.75" x14ac:dyDescent="0.25">
      <c r="A41" s="2" t="s">
        <v>89</v>
      </c>
      <c r="B41" s="15">
        <v>3.9E-2</v>
      </c>
      <c r="C41" s="15">
        <v>3.2000000000000001E-2</v>
      </c>
      <c r="D41" s="2" t="s">
        <v>88</v>
      </c>
    </row>
    <row r="42" spans="1:4" ht="15.75" x14ac:dyDescent="0.25">
      <c r="A42" s="2" t="s">
        <v>91</v>
      </c>
      <c r="B42" s="15">
        <v>2.5999999999999999E-2</v>
      </c>
      <c r="C42" s="15">
        <v>2.1000000000000001E-2</v>
      </c>
      <c r="D42" s="2" t="s">
        <v>90</v>
      </c>
    </row>
    <row r="43" spans="1:4" ht="15.75" x14ac:dyDescent="0.25">
      <c r="A43" s="2" t="s">
        <v>93</v>
      </c>
      <c r="B43" s="15">
        <v>4.4999999999999998E-2</v>
      </c>
      <c r="C43" s="15">
        <v>3.4000000000000002E-2</v>
      </c>
      <c r="D43" s="2" t="s">
        <v>92</v>
      </c>
    </row>
    <row r="44" spans="1:4" ht="15.75" x14ac:dyDescent="0.25">
      <c r="A44" s="2" t="s">
        <v>95</v>
      </c>
      <c r="B44" s="15">
        <v>5.6000000000000001E-2</v>
      </c>
      <c r="C44" s="15">
        <v>3.9E-2</v>
      </c>
      <c r="D44" s="2" t="s">
        <v>94</v>
      </c>
    </row>
    <row r="45" spans="1:4" ht="15.75" x14ac:dyDescent="0.25">
      <c r="A45" s="2" t="s">
        <v>97</v>
      </c>
      <c r="B45" s="15">
        <v>2.7E-2</v>
      </c>
      <c r="C45" s="15">
        <v>2.3E-2</v>
      </c>
      <c r="D45" s="2" t="s">
        <v>96</v>
      </c>
    </row>
    <row r="46" spans="1:4" ht="15.75" x14ac:dyDescent="0.25">
      <c r="A46" s="2" t="s">
        <v>99</v>
      </c>
      <c r="B46" s="15">
        <v>3.6999999999999998E-2</v>
      </c>
      <c r="C46" s="15">
        <v>2.5999999999999999E-2</v>
      </c>
      <c r="D46" s="2" t="s">
        <v>98</v>
      </c>
    </row>
    <row r="47" spans="1:4" ht="15.75" x14ac:dyDescent="0.25">
      <c r="A47" s="2" t="s">
        <v>101</v>
      </c>
      <c r="B47" s="15">
        <v>3.9E-2</v>
      </c>
      <c r="C47" s="15">
        <v>2.9000000000000001E-2</v>
      </c>
      <c r="D47" s="2" t="s">
        <v>100</v>
      </c>
    </row>
    <row r="48" spans="1:4" ht="15.75" x14ac:dyDescent="0.25">
      <c r="A48" s="2" t="s">
        <v>103</v>
      </c>
      <c r="B48" s="15">
        <v>5.1999999999999998E-2</v>
      </c>
      <c r="C48" s="15">
        <v>4.2000000000000003E-2</v>
      </c>
      <c r="D48" s="2" t="s">
        <v>102</v>
      </c>
    </row>
    <row r="49" spans="1:4" ht="15.75" x14ac:dyDescent="0.25">
      <c r="A49" s="2" t="s">
        <v>105</v>
      </c>
      <c r="B49" s="15">
        <v>5.0999999999999997E-2</v>
      </c>
      <c r="C49" s="15">
        <v>3.9E-2</v>
      </c>
      <c r="D49" s="2" t="s">
        <v>104</v>
      </c>
    </row>
    <row r="50" spans="1:4" ht="15.75" x14ac:dyDescent="0.25">
      <c r="A50" s="2" t="s">
        <v>107</v>
      </c>
      <c r="B50" s="15">
        <v>3.7999999999999999E-2</v>
      </c>
      <c r="C50" s="15">
        <v>2.9000000000000001E-2</v>
      </c>
      <c r="D50" s="2" t="s">
        <v>106</v>
      </c>
    </row>
    <row r="51" spans="1:4" ht="15.75" x14ac:dyDescent="0.25">
      <c r="A51" s="2" t="s">
        <v>109</v>
      </c>
      <c r="B51" s="15">
        <v>4.5999999999999999E-2</v>
      </c>
      <c r="C51" s="15">
        <v>3.5999999999999997E-2</v>
      </c>
      <c r="D51" s="2" t="s">
        <v>108</v>
      </c>
    </row>
  </sheetData>
  <mergeCells count="2">
    <mergeCell ref="F9:G9"/>
    <mergeCell ref="F10:G10"/>
  </mergeCells>
  <phoneticPr fontId="8" type="noConversion"/>
  <conditionalFormatting sqref="B2:B51">
    <cfRule type="top10" dxfId="68" priority="4" rank="3"/>
    <cfRule type="top10" dxfId="67" priority="3" bottom="1" rank="3"/>
  </conditionalFormatting>
  <conditionalFormatting sqref="C2:C51">
    <cfRule type="top10" dxfId="66" priority="2" rank="3"/>
    <cfRule type="top10" dxfId="65" priority="1" bottom="1" rank="3"/>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Dashboard">
                <anchor moveWithCells="1" sizeWithCells="1">
                  <from>
                    <xdr:col>4</xdr:col>
                    <xdr:colOff>876300</xdr:colOff>
                    <xdr:row>1</xdr:row>
                    <xdr:rowOff>200025</xdr:rowOff>
                  </from>
                  <to>
                    <xdr:col>6</xdr:col>
                    <xdr:colOff>447675</xdr:colOff>
                    <xdr:row>6</xdr:row>
                    <xdr:rowOff>19050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CEC6A-E855-C94E-95E5-A8C8074A2823}">
  <sheetPr codeName="Sheet8"/>
  <dimension ref="A1:O107"/>
  <sheetViews>
    <sheetView zoomScaleNormal="100" workbookViewId="0">
      <pane xSplit="1" topLeftCell="J1" activePane="topRight" state="frozen"/>
      <selection pane="topRight" activeCell="T11" sqref="T11"/>
    </sheetView>
  </sheetViews>
  <sheetFormatPr defaultColWidth="11.42578125" defaultRowHeight="15" x14ac:dyDescent="0.25"/>
  <cols>
    <col min="1" max="1" width="16.7109375" style="5" bestFit="1" customWidth="1"/>
    <col min="2" max="2" width="39" bestFit="1" customWidth="1"/>
    <col min="3" max="3" width="10.140625" bestFit="1" customWidth="1"/>
    <col min="4" max="4" width="28" bestFit="1" customWidth="1"/>
    <col min="5" max="5" width="34.85546875" bestFit="1" customWidth="1"/>
    <col min="6" max="6" width="19.5703125" bestFit="1" customWidth="1"/>
    <col min="7" max="7" width="41.28515625" bestFit="1" customWidth="1"/>
    <col min="8" max="8" width="24.42578125" bestFit="1" customWidth="1"/>
    <col min="9" max="9" width="24.140625" bestFit="1" customWidth="1"/>
    <col min="10" max="10" width="29.140625" bestFit="1" customWidth="1"/>
    <col min="11" max="11" width="34.42578125" bestFit="1" customWidth="1"/>
    <col min="12" max="12" width="33.7109375" bestFit="1" customWidth="1"/>
    <col min="13" max="14" width="29.42578125" bestFit="1" customWidth="1"/>
    <col min="15" max="15" width="28.5703125" bestFit="1" customWidth="1"/>
  </cols>
  <sheetData>
    <row r="1" spans="1:15" s="14" customFormat="1" ht="15.75" x14ac:dyDescent="0.25">
      <c r="A1" s="12" t="s">
        <v>7</v>
      </c>
      <c r="B1" s="4" t="s">
        <v>110</v>
      </c>
      <c r="C1" s="4" t="s">
        <v>282</v>
      </c>
      <c r="D1" s="12" t="s">
        <v>283</v>
      </c>
      <c r="E1" s="12" t="s">
        <v>114</v>
      </c>
      <c r="F1" s="12" t="s">
        <v>116</v>
      </c>
      <c r="G1" s="13" t="s">
        <v>284</v>
      </c>
      <c r="H1" s="2" t="s">
        <v>285</v>
      </c>
      <c r="I1" s="2" t="s">
        <v>271</v>
      </c>
      <c r="J1" s="2" t="s">
        <v>273</v>
      </c>
      <c r="K1" s="13" t="s">
        <v>275</v>
      </c>
      <c r="L1" s="13" t="s">
        <v>277</v>
      </c>
      <c r="M1" s="13" t="s">
        <v>286</v>
      </c>
      <c r="N1" s="16" t="s">
        <v>279</v>
      </c>
      <c r="O1" s="16" t="s">
        <v>280</v>
      </c>
    </row>
    <row r="2" spans="1:15" ht="15.75" x14ac:dyDescent="0.25">
      <c r="A2" s="6" t="s">
        <v>11</v>
      </c>
      <c r="B2" t="s">
        <v>10</v>
      </c>
      <c r="C2" t="s">
        <v>287</v>
      </c>
      <c r="D2" s="10">
        <v>0.72599999999999998</v>
      </c>
      <c r="E2" s="9" t="s">
        <v>122</v>
      </c>
      <c r="F2" s="10">
        <v>0.38419999999999999</v>
      </c>
      <c r="G2" s="11">
        <v>45673</v>
      </c>
      <c r="H2" s="18">
        <v>4727</v>
      </c>
      <c r="I2" s="18">
        <v>22322</v>
      </c>
      <c r="J2" s="18">
        <v>210322</v>
      </c>
      <c r="K2" s="19">
        <v>26.6</v>
      </c>
      <c r="L2" s="19">
        <v>35.5</v>
      </c>
      <c r="M2" s="20">
        <v>20.399999999999999</v>
      </c>
      <c r="N2" s="15">
        <v>3.4000000000000002E-2</v>
      </c>
      <c r="O2" s="15">
        <v>2.5999999999999999E-2</v>
      </c>
    </row>
    <row r="3" spans="1:15" ht="15.75" x14ac:dyDescent="0.25">
      <c r="A3" s="6" t="s">
        <v>13</v>
      </c>
      <c r="B3" t="s">
        <v>12</v>
      </c>
      <c r="C3" t="s">
        <v>288</v>
      </c>
      <c r="D3" s="10">
        <v>0.76370000000000005</v>
      </c>
      <c r="E3" s="9" t="s">
        <v>119</v>
      </c>
      <c r="F3" s="10">
        <v>0.44779999999999998</v>
      </c>
      <c r="G3" s="11">
        <v>9975</v>
      </c>
      <c r="H3" s="18">
        <v>5359</v>
      </c>
      <c r="I3" s="18">
        <v>6126</v>
      </c>
      <c r="J3" s="18">
        <v>33056</v>
      </c>
      <c r="K3" s="21">
        <v>62.8</v>
      </c>
      <c r="L3" s="21">
        <v>75</v>
      </c>
      <c r="M3" s="21">
        <v>52.2</v>
      </c>
      <c r="N3" s="15">
        <v>6.4000000000000001E-2</v>
      </c>
      <c r="O3" s="15">
        <v>4.3999999999999997E-2</v>
      </c>
    </row>
    <row r="4" spans="1:15" ht="15.75" x14ac:dyDescent="0.25">
      <c r="A4" s="6" t="s">
        <v>15</v>
      </c>
      <c r="B4" t="s">
        <v>14</v>
      </c>
      <c r="C4" t="s">
        <v>288</v>
      </c>
      <c r="D4" s="10">
        <v>0.82989999999999997</v>
      </c>
      <c r="E4" s="9" t="s">
        <v>128</v>
      </c>
      <c r="F4" s="10">
        <v>0.38800000000000001</v>
      </c>
      <c r="G4" s="11">
        <v>64980</v>
      </c>
      <c r="H4" s="18">
        <v>4940</v>
      </c>
      <c r="I4" s="18">
        <v>35980</v>
      </c>
      <c r="J4" s="18">
        <v>330646</v>
      </c>
      <c r="K4" s="19">
        <v>60.4</v>
      </c>
      <c r="L4" s="19">
        <v>71.8</v>
      </c>
      <c r="M4" s="20">
        <v>50.2</v>
      </c>
      <c r="N4" s="15">
        <v>5.0999999999999997E-2</v>
      </c>
      <c r="O4" s="15">
        <v>3.7999999999999999E-2</v>
      </c>
    </row>
    <row r="5" spans="1:15" ht="15.75" x14ac:dyDescent="0.25">
      <c r="A5" s="6" t="s">
        <v>17</v>
      </c>
      <c r="B5" t="s">
        <v>16</v>
      </c>
      <c r="C5" t="s">
        <v>287</v>
      </c>
      <c r="D5" s="10">
        <v>0.72060000000000002</v>
      </c>
      <c r="E5" s="9" t="s">
        <v>125</v>
      </c>
      <c r="F5" s="10">
        <v>0.4153</v>
      </c>
      <c r="G5" s="11">
        <v>28300</v>
      </c>
      <c r="H5" s="18">
        <v>5899</v>
      </c>
      <c r="I5" s="18">
        <v>20363</v>
      </c>
      <c r="J5" s="18">
        <v>158400</v>
      </c>
      <c r="K5" s="21">
        <v>60.3</v>
      </c>
      <c r="L5" s="21">
        <v>75.3</v>
      </c>
      <c r="M5" s="21">
        <v>46.8</v>
      </c>
      <c r="N5" s="15">
        <v>4.1000000000000002E-2</v>
      </c>
      <c r="O5" s="15">
        <v>3.3000000000000002E-2</v>
      </c>
    </row>
    <row r="6" spans="1:15" ht="15.75" x14ac:dyDescent="0.25">
      <c r="A6" s="6" t="s">
        <v>19</v>
      </c>
      <c r="B6" t="s">
        <v>18</v>
      </c>
      <c r="C6" t="s">
        <v>288</v>
      </c>
      <c r="D6" s="10">
        <v>0.66569999999999996</v>
      </c>
      <c r="E6" s="9" t="s">
        <v>131</v>
      </c>
      <c r="F6" s="10">
        <v>0.52500000000000002</v>
      </c>
      <c r="G6" s="11">
        <v>405451</v>
      </c>
      <c r="H6" s="18">
        <v>4720</v>
      </c>
      <c r="I6" s="18">
        <v>174026</v>
      </c>
      <c r="J6" s="18">
        <v>1684108</v>
      </c>
      <c r="K6" s="21">
        <v>59.4</v>
      </c>
      <c r="L6" s="21">
        <v>71.5</v>
      </c>
      <c r="M6" s="21">
        <v>46.5</v>
      </c>
      <c r="N6" s="15">
        <v>7.2999999999999995E-2</v>
      </c>
      <c r="O6" s="15">
        <v>4.2000000000000003E-2</v>
      </c>
    </row>
    <row r="7" spans="1:15" ht="15.75" x14ac:dyDescent="0.25">
      <c r="A7" s="6" t="s">
        <v>21</v>
      </c>
      <c r="B7" t="s">
        <v>20</v>
      </c>
      <c r="C7" t="s">
        <v>288</v>
      </c>
      <c r="D7" s="10">
        <v>0.80049999999999999</v>
      </c>
      <c r="E7" s="9" t="s">
        <v>134</v>
      </c>
      <c r="F7" s="10">
        <v>0.48699999999999999</v>
      </c>
      <c r="G7" s="11">
        <v>49849</v>
      </c>
      <c r="H7" s="18">
        <v>6091</v>
      </c>
      <c r="I7" s="18">
        <v>24570</v>
      </c>
      <c r="J7" s="18">
        <v>329164</v>
      </c>
      <c r="K7" s="21">
        <v>45.1</v>
      </c>
      <c r="L7" s="21">
        <v>60</v>
      </c>
      <c r="M7" s="21">
        <v>32.4</v>
      </c>
      <c r="N7" s="15">
        <v>5.3999999999999999E-2</v>
      </c>
      <c r="O7" s="15">
        <v>0.03</v>
      </c>
    </row>
    <row r="8" spans="1:15" ht="15.75" x14ac:dyDescent="0.25">
      <c r="A8" s="6" t="s">
        <v>23</v>
      </c>
      <c r="B8" t="s">
        <v>22</v>
      </c>
      <c r="C8" t="s">
        <v>289</v>
      </c>
      <c r="D8" s="10">
        <v>0.65369999999999995</v>
      </c>
      <c r="E8" s="9" t="s">
        <v>137</v>
      </c>
      <c r="F8" s="10">
        <v>0.65029999999999999</v>
      </c>
      <c r="G8" s="11">
        <v>44425</v>
      </c>
      <c r="H8" s="18">
        <v>3312</v>
      </c>
      <c r="I8" s="18">
        <v>6459</v>
      </c>
      <c r="J8" s="18">
        <v>111340</v>
      </c>
      <c r="K8" s="21">
        <v>49</v>
      </c>
      <c r="L8" s="21">
        <v>60</v>
      </c>
      <c r="M8" s="21">
        <v>39.799999999999997</v>
      </c>
      <c r="N8" s="15">
        <v>6.3E-2</v>
      </c>
      <c r="O8" s="15">
        <v>4.2000000000000003E-2</v>
      </c>
    </row>
    <row r="9" spans="1:15" ht="15.75" x14ac:dyDescent="0.25">
      <c r="A9" s="6" t="s">
        <v>25</v>
      </c>
      <c r="B9" t="s">
        <v>24</v>
      </c>
      <c r="C9" t="s">
        <v>290</v>
      </c>
      <c r="D9" s="10">
        <v>0.66259999999999997</v>
      </c>
      <c r="E9" s="9" t="s">
        <v>140</v>
      </c>
      <c r="F9" s="10">
        <v>0.45</v>
      </c>
      <c r="G9" s="11">
        <v>12729</v>
      </c>
      <c r="H9" s="18">
        <v>4355</v>
      </c>
      <c r="I9" s="18">
        <v>4262</v>
      </c>
      <c r="J9" s="18">
        <v>38710</v>
      </c>
      <c r="K9" s="21">
        <v>55.3</v>
      </c>
      <c r="L9" s="21">
        <v>66.099999999999994</v>
      </c>
      <c r="M9" s="21">
        <v>46.3</v>
      </c>
      <c r="N9" s="15">
        <v>5.5E-2</v>
      </c>
      <c r="O9" s="15">
        <v>4.4999999999999998E-2</v>
      </c>
    </row>
    <row r="10" spans="1:15" ht="15.75" x14ac:dyDescent="0.25">
      <c r="A10" s="6" t="s">
        <v>27</v>
      </c>
      <c r="B10" t="s">
        <v>26</v>
      </c>
      <c r="C10" t="s">
        <v>287</v>
      </c>
      <c r="D10" s="10">
        <v>0.69940000000000002</v>
      </c>
      <c r="E10" s="9" t="s">
        <v>143</v>
      </c>
      <c r="F10" s="10">
        <v>0.53979999999999995</v>
      </c>
      <c r="G10" s="11">
        <v>214408</v>
      </c>
      <c r="H10" s="18">
        <v>3922</v>
      </c>
      <c r="I10" s="18">
        <v>83368</v>
      </c>
      <c r="J10" s="18">
        <v>769112</v>
      </c>
      <c r="K10" s="21">
        <v>70.7</v>
      </c>
      <c r="L10" s="21">
        <v>81.900000000000006</v>
      </c>
      <c r="M10" s="21">
        <v>60.9</v>
      </c>
      <c r="N10" s="15">
        <v>4.5999999999999999E-2</v>
      </c>
      <c r="O10" s="15">
        <v>2.9000000000000001E-2</v>
      </c>
    </row>
    <row r="11" spans="1:15" ht="15.75" x14ac:dyDescent="0.25">
      <c r="A11" s="6" t="s">
        <v>29</v>
      </c>
      <c r="B11" t="s">
        <v>28</v>
      </c>
      <c r="C11" t="s">
        <v>287</v>
      </c>
      <c r="D11" s="10">
        <v>0.70309999999999995</v>
      </c>
      <c r="E11" s="9" t="s">
        <v>146</v>
      </c>
      <c r="F11" s="10">
        <v>0.42109999999999997</v>
      </c>
      <c r="G11" s="11">
        <v>93803</v>
      </c>
      <c r="H11" s="18">
        <v>4415</v>
      </c>
      <c r="I11" s="18">
        <v>42850</v>
      </c>
      <c r="J11" s="18">
        <v>429976</v>
      </c>
      <c r="K11" s="21">
        <v>63.5</v>
      </c>
      <c r="L11" s="21">
        <v>75.599999999999994</v>
      </c>
      <c r="M11" s="21">
        <v>52.7</v>
      </c>
      <c r="N11" s="15">
        <v>3.9E-2</v>
      </c>
      <c r="O11" s="15">
        <v>0.03</v>
      </c>
    </row>
    <row r="12" spans="1:15" ht="15.75" x14ac:dyDescent="0.25">
      <c r="A12" s="6" t="s">
        <v>31</v>
      </c>
      <c r="B12" t="s">
        <v>30</v>
      </c>
      <c r="C12" t="s">
        <v>288</v>
      </c>
      <c r="D12" s="10">
        <v>0.78510000000000002</v>
      </c>
      <c r="E12" s="9" t="s">
        <v>149</v>
      </c>
      <c r="F12" s="10">
        <v>0.40939999999999999</v>
      </c>
      <c r="G12" s="11">
        <v>14480</v>
      </c>
      <c r="H12" s="18">
        <v>5077</v>
      </c>
      <c r="I12" s="18">
        <v>3576</v>
      </c>
      <c r="J12" s="18">
        <v>67856</v>
      </c>
      <c r="K12" s="21">
        <v>70</v>
      </c>
      <c r="L12" s="21">
        <v>80.400000000000006</v>
      </c>
      <c r="M12" s="21">
        <v>66.599999999999994</v>
      </c>
      <c r="N12" s="15">
        <v>0.06</v>
      </c>
      <c r="O12" s="15">
        <v>3.5000000000000003E-2</v>
      </c>
    </row>
    <row r="13" spans="1:15" ht="15.75" x14ac:dyDescent="0.25">
      <c r="A13" s="6" t="s">
        <v>33</v>
      </c>
      <c r="B13" t="s">
        <v>32</v>
      </c>
      <c r="C13" t="s">
        <v>288</v>
      </c>
      <c r="D13" s="10">
        <v>0.80269999999999997</v>
      </c>
      <c r="E13" s="9" t="s">
        <v>155</v>
      </c>
      <c r="F13" s="10">
        <v>0.50600000000000001</v>
      </c>
      <c r="G13" s="11">
        <v>14886</v>
      </c>
      <c r="H13" s="18">
        <v>2466</v>
      </c>
      <c r="I13" s="18">
        <v>4432</v>
      </c>
      <c r="J13" s="18">
        <v>40626</v>
      </c>
      <c r="K13" s="21">
        <v>47.8</v>
      </c>
      <c r="L13" s="21">
        <v>58.5</v>
      </c>
      <c r="M13" s="21">
        <v>38.1</v>
      </c>
      <c r="N13" s="15">
        <v>3.5000000000000003E-2</v>
      </c>
      <c r="O13" s="15">
        <v>2.7E-2</v>
      </c>
    </row>
    <row r="14" spans="1:15" ht="15.75" x14ac:dyDescent="0.25">
      <c r="A14" s="6" t="s">
        <v>35</v>
      </c>
      <c r="B14" t="s">
        <v>34</v>
      </c>
      <c r="C14" t="s">
        <v>290</v>
      </c>
      <c r="D14" s="10">
        <v>0.73050000000000004</v>
      </c>
      <c r="E14" s="9" t="s">
        <v>158</v>
      </c>
      <c r="F14" s="10">
        <v>0.4798</v>
      </c>
      <c r="G14" s="11">
        <v>128263</v>
      </c>
      <c r="H14" s="18">
        <v>3545</v>
      </c>
      <c r="I14" s="18">
        <v>53612</v>
      </c>
      <c r="J14" s="18">
        <v>392574</v>
      </c>
      <c r="K14" s="19">
        <v>44.4</v>
      </c>
      <c r="L14" s="19">
        <v>55.7</v>
      </c>
      <c r="M14" s="20">
        <v>32.1</v>
      </c>
      <c r="N14" s="15">
        <v>6.0999999999999999E-2</v>
      </c>
      <c r="O14" s="15">
        <v>4.5999999999999999E-2</v>
      </c>
    </row>
    <row r="15" spans="1:15" ht="15.75" x14ac:dyDescent="0.25">
      <c r="A15" s="6" t="s">
        <v>37</v>
      </c>
      <c r="B15" t="s">
        <v>36</v>
      </c>
      <c r="C15" t="s">
        <v>290</v>
      </c>
      <c r="D15" s="10">
        <v>0.78029999999999999</v>
      </c>
      <c r="E15" s="9" t="s">
        <v>161</v>
      </c>
      <c r="F15" s="10">
        <v>0.55979999999999996</v>
      </c>
      <c r="G15" s="11">
        <v>71040</v>
      </c>
      <c r="H15" s="18">
        <v>3924</v>
      </c>
      <c r="I15" s="18">
        <v>24161</v>
      </c>
      <c r="J15" s="18">
        <v>240906</v>
      </c>
      <c r="K15" s="21">
        <v>51.8</v>
      </c>
      <c r="L15" s="21">
        <v>62.7</v>
      </c>
      <c r="M15" s="21">
        <v>42.6</v>
      </c>
      <c r="N15" s="15">
        <v>3.9E-2</v>
      </c>
      <c r="O15" s="15">
        <v>0.03</v>
      </c>
    </row>
    <row r="16" spans="1:15" ht="15.75" x14ac:dyDescent="0.25">
      <c r="A16" s="6" t="s">
        <v>39</v>
      </c>
      <c r="B16" t="s">
        <v>38</v>
      </c>
      <c r="C16" t="s">
        <v>290</v>
      </c>
      <c r="D16" s="10">
        <v>0.77629999999999999</v>
      </c>
      <c r="E16" s="9" t="s">
        <v>152</v>
      </c>
      <c r="F16" s="10">
        <v>0.58489999999999998</v>
      </c>
      <c r="G16" s="11">
        <v>30968</v>
      </c>
      <c r="H16" s="18">
        <v>3700</v>
      </c>
      <c r="I16" s="18">
        <v>9601</v>
      </c>
      <c r="J16" s="18">
        <v>107450</v>
      </c>
      <c r="K16" s="19">
        <v>51.7</v>
      </c>
      <c r="L16" s="19">
        <v>62.5</v>
      </c>
      <c r="M16" s="20">
        <v>42.2</v>
      </c>
      <c r="N16" s="15">
        <v>3.7999999999999999E-2</v>
      </c>
      <c r="O16" s="15">
        <v>2.7E-2</v>
      </c>
    </row>
    <row r="17" spans="1:15" ht="15.75" x14ac:dyDescent="0.25">
      <c r="A17" s="6" t="s">
        <v>41</v>
      </c>
      <c r="B17" t="s">
        <v>40</v>
      </c>
      <c r="C17" t="s">
        <v>290</v>
      </c>
      <c r="D17" s="10">
        <v>0.79330000000000001</v>
      </c>
      <c r="E17" s="9" t="s">
        <v>164</v>
      </c>
      <c r="F17" s="10">
        <v>0.44950000000000001</v>
      </c>
      <c r="G17" s="11">
        <v>27414</v>
      </c>
      <c r="H17" s="18">
        <v>4823</v>
      </c>
      <c r="I17" s="18">
        <v>12385</v>
      </c>
      <c r="J17" s="18">
        <v>128154</v>
      </c>
      <c r="K17" s="21">
        <v>54.3</v>
      </c>
      <c r="L17" s="21">
        <v>67.5</v>
      </c>
      <c r="M17" s="21">
        <v>42.6</v>
      </c>
      <c r="N17" s="15">
        <v>3.3000000000000002E-2</v>
      </c>
      <c r="O17" s="15">
        <v>2.7E-2</v>
      </c>
    </row>
    <row r="18" spans="1:15" ht="15.75" x14ac:dyDescent="0.25">
      <c r="A18" s="6" t="s">
        <v>43</v>
      </c>
      <c r="B18" t="s">
        <v>42</v>
      </c>
      <c r="C18" t="s">
        <v>287</v>
      </c>
      <c r="D18" s="10">
        <v>0.77939999999999998</v>
      </c>
      <c r="E18" s="9" t="s">
        <v>167</v>
      </c>
      <c r="F18" s="10">
        <v>0.45550000000000002</v>
      </c>
      <c r="G18" s="11">
        <v>45922</v>
      </c>
      <c r="H18" s="18">
        <v>3818</v>
      </c>
      <c r="I18" s="18">
        <v>11600</v>
      </c>
      <c r="J18" s="18">
        <v>159346</v>
      </c>
      <c r="K18" s="21">
        <v>55.6</v>
      </c>
      <c r="L18" s="21">
        <v>67.2</v>
      </c>
      <c r="M18" s="21">
        <v>45.4</v>
      </c>
      <c r="N18" s="15">
        <v>4.3999999999999997E-2</v>
      </c>
      <c r="O18" s="15">
        <v>3.9E-2</v>
      </c>
    </row>
    <row r="19" spans="1:15" ht="15.75" x14ac:dyDescent="0.25">
      <c r="A19" s="6" t="s">
        <v>45</v>
      </c>
      <c r="B19" t="s">
        <v>44</v>
      </c>
      <c r="C19" t="s">
        <v>287</v>
      </c>
      <c r="D19" s="10">
        <v>0.7107</v>
      </c>
      <c r="E19" s="9" t="s">
        <v>170</v>
      </c>
      <c r="F19" s="10">
        <v>0.44309999999999999</v>
      </c>
      <c r="G19" s="11">
        <v>48845</v>
      </c>
      <c r="H19" s="18">
        <v>6408</v>
      </c>
      <c r="I19" s="18">
        <v>29704</v>
      </c>
      <c r="J19" s="18">
        <v>267978</v>
      </c>
      <c r="K19" s="21">
        <v>66.400000000000006</v>
      </c>
      <c r="L19" s="21">
        <v>77.5</v>
      </c>
      <c r="M19" s="21">
        <v>56.7</v>
      </c>
      <c r="N19" s="15">
        <v>5.6000000000000001E-2</v>
      </c>
      <c r="O19" s="15">
        <v>3.6999999999999998E-2</v>
      </c>
    </row>
    <row r="20" spans="1:15" ht="15.75" x14ac:dyDescent="0.25">
      <c r="A20" s="6" t="s">
        <v>47</v>
      </c>
      <c r="B20" t="s">
        <v>46</v>
      </c>
      <c r="C20" t="s">
        <v>289</v>
      </c>
      <c r="D20" s="10">
        <v>0.68840000000000001</v>
      </c>
      <c r="E20" s="9" t="s">
        <v>179</v>
      </c>
      <c r="F20" s="10">
        <v>0.51259999999999994</v>
      </c>
      <c r="G20" s="11">
        <v>16306</v>
      </c>
      <c r="H20" s="18">
        <v>2421</v>
      </c>
      <c r="I20" s="18">
        <v>1466</v>
      </c>
      <c r="J20" s="18">
        <v>31220</v>
      </c>
      <c r="K20" s="21">
        <v>47.9</v>
      </c>
      <c r="L20" s="21">
        <v>58.8</v>
      </c>
      <c r="M20" s="21">
        <v>38.700000000000003</v>
      </c>
      <c r="N20" s="15">
        <v>4.5999999999999999E-2</v>
      </c>
      <c r="O20" s="15">
        <v>0.03</v>
      </c>
    </row>
    <row r="21" spans="1:15" ht="15.75" x14ac:dyDescent="0.25">
      <c r="A21" s="6" t="s">
        <v>49</v>
      </c>
      <c r="B21" t="s">
        <v>48</v>
      </c>
      <c r="C21" t="s">
        <v>287</v>
      </c>
      <c r="D21" s="10">
        <v>0.73839999999999995</v>
      </c>
      <c r="E21" s="9" t="s">
        <v>176</v>
      </c>
      <c r="F21" s="10">
        <v>0.48770000000000002</v>
      </c>
      <c r="G21" s="11">
        <v>65641</v>
      </c>
      <c r="H21" s="18">
        <v>3619</v>
      </c>
      <c r="I21" s="18">
        <v>24215</v>
      </c>
      <c r="J21" s="18">
        <v>194974</v>
      </c>
      <c r="K21" s="21">
        <v>54.2</v>
      </c>
      <c r="L21" s="21">
        <v>65.400000000000006</v>
      </c>
      <c r="M21" s="21">
        <v>45.4</v>
      </c>
      <c r="N21" s="15">
        <v>5.2999999999999999E-2</v>
      </c>
      <c r="O21" s="15">
        <v>3.2000000000000001E-2</v>
      </c>
    </row>
    <row r="22" spans="1:15" ht="15.75" x14ac:dyDescent="0.25">
      <c r="A22" s="6" t="s">
        <v>51</v>
      </c>
      <c r="B22" t="s">
        <v>50</v>
      </c>
      <c r="C22" t="s">
        <v>289</v>
      </c>
      <c r="D22" s="10">
        <v>0.63829999999999998</v>
      </c>
      <c r="E22" s="9" t="s">
        <v>173</v>
      </c>
      <c r="F22" s="10">
        <v>0.59160000000000001</v>
      </c>
      <c r="G22" s="11">
        <v>91817</v>
      </c>
      <c r="H22" s="18">
        <v>2415</v>
      </c>
      <c r="I22" s="18">
        <v>21288</v>
      </c>
      <c r="J22" s="18">
        <v>145204</v>
      </c>
      <c r="K22" s="21">
        <v>41</v>
      </c>
      <c r="L22" s="21">
        <v>51.9</v>
      </c>
      <c r="M22" s="21">
        <v>31.7</v>
      </c>
      <c r="N22" s="15">
        <v>5.5E-2</v>
      </c>
      <c r="O22" s="15">
        <v>3.7999999999999999E-2</v>
      </c>
    </row>
    <row r="23" spans="1:15" ht="15.75" x14ac:dyDescent="0.25">
      <c r="A23" s="6" t="s">
        <v>53</v>
      </c>
      <c r="B23" t="s">
        <v>52</v>
      </c>
      <c r="C23" t="s">
        <v>290</v>
      </c>
      <c r="D23" s="10">
        <v>0.76139999999999997</v>
      </c>
      <c r="E23" s="9" t="s">
        <v>182</v>
      </c>
      <c r="F23" s="10">
        <v>0.49070000000000003</v>
      </c>
      <c r="G23" s="11">
        <v>98638</v>
      </c>
      <c r="H23" s="18">
        <v>3200</v>
      </c>
      <c r="I23" s="18">
        <v>47641</v>
      </c>
      <c r="J23" s="18">
        <v>271266</v>
      </c>
      <c r="K23" s="21">
        <v>44.4</v>
      </c>
      <c r="L23" s="21">
        <v>55</v>
      </c>
      <c r="M23" s="21">
        <v>35.299999999999997</v>
      </c>
      <c r="N23" s="15">
        <v>5.8000000000000003E-2</v>
      </c>
      <c r="O23" s="15">
        <v>4.2000000000000003E-2</v>
      </c>
    </row>
    <row r="24" spans="1:15" ht="15.75" x14ac:dyDescent="0.25">
      <c r="A24" s="6" t="s">
        <v>55</v>
      </c>
      <c r="B24" t="s">
        <v>54</v>
      </c>
      <c r="C24" t="s">
        <v>290</v>
      </c>
      <c r="D24" s="10">
        <v>0.74550000000000005</v>
      </c>
      <c r="E24" s="9" t="s">
        <v>185</v>
      </c>
      <c r="F24" s="10">
        <v>0.505</v>
      </c>
      <c r="G24" s="11">
        <v>61357</v>
      </c>
      <c r="H24" s="18">
        <v>4527</v>
      </c>
      <c r="I24" s="18">
        <v>15698</v>
      </c>
      <c r="J24" s="18">
        <v>240424</v>
      </c>
      <c r="K24" s="21">
        <v>41.2</v>
      </c>
      <c r="L24" s="21">
        <v>51.9</v>
      </c>
      <c r="M24" s="21">
        <v>31.4</v>
      </c>
      <c r="N24" s="15">
        <v>3.7999999999999999E-2</v>
      </c>
      <c r="O24" s="15">
        <v>2.7E-2</v>
      </c>
    </row>
    <row r="25" spans="1:15" ht="15.75" x14ac:dyDescent="0.25">
      <c r="A25" s="6" t="s">
        <v>57</v>
      </c>
      <c r="B25" t="s">
        <v>56</v>
      </c>
      <c r="C25" t="s">
        <v>287</v>
      </c>
      <c r="D25" s="10">
        <v>0.72760000000000002</v>
      </c>
      <c r="E25" s="9" t="s">
        <v>190</v>
      </c>
      <c r="F25" s="10">
        <v>0.43309999999999998</v>
      </c>
      <c r="G25" s="11">
        <v>27870</v>
      </c>
      <c r="H25" s="18">
        <v>4494</v>
      </c>
      <c r="I25" s="18">
        <v>8638</v>
      </c>
      <c r="J25" s="18">
        <v>124702</v>
      </c>
      <c r="K25" s="21">
        <v>54.5</v>
      </c>
      <c r="L25" s="21">
        <v>66</v>
      </c>
      <c r="M25" s="21">
        <v>44.5</v>
      </c>
      <c r="N25" s="15">
        <v>5.5E-2</v>
      </c>
      <c r="O25" s="15">
        <v>3.9E-2</v>
      </c>
    </row>
    <row r="26" spans="1:15" ht="15.75" x14ac:dyDescent="0.25">
      <c r="A26" s="6" t="s">
        <v>59</v>
      </c>
      <c r="B26" t="s">
        <v>58</v>
      </c>
      <c r="C26" t="s">
        <v>290</v>
      </c>
      <c r="D26" s="10">
        <v>0.75590000000000002</v>
      </c>
      <c r="E26" s="9" t="s">
        <v>188</v>
      </c>
      <c r="F26" s="10">
        <v>0.52039999999999997</v>
      </c>
      <c r="G26" s="11">
        <v>61031</v>
      </c>
      <c r="H26" s="18">
        <v>5605</v>
      </c>
      <c r="I26" s="18">
        <v>33385</v>
      </c>
      <c r="J26" s="18">
        <v>311396</v>
      </c>
      <c r="K26" s="21">
        <v>63.4</v>
      </c>
      <c r="L26" s="21">
        <v>75.3</v>
      </c>
      <c r="M26" s="21">
        <v>53</v>
      </c>
      <c r="N26" s="15">
        <v>4.1000000000000002E-2</v>
      </c>
      <c r="O26" s="15">
        <v>2.5000000000000001E-2</v>
      </c>
    </row>
    <row r="27" spans="1:15" ht="15.75" x14ac:dyDescent="0.25">
      <c r="A27" s="6" t="s">
        <v>61</v>
      </c>
      <c r="B27" t="s">
        <v>60</v>
      </c>
      <c r="C27" t="s">
        <v>288</v>
      </c>
      <c r="D27" s="10">
        <v>0.83320000000000005</v>
      </c>
      <c r="E27" s="9" t="s">
        <v>193</v>
      </c>
      <c r="F27" s="10">
        <v>0.37359999999999999</v>
      </c>
      <c r="G27" s="11">
        <v>11035</v>
      </c>
      <c r="H27" s="18">
        <v>4711</v>
      </c>
      <c r="I27" s="18">
        <v>5077</v>
      </c>
      <c r="J27" s="18">
        <v>45834</v>
      </c>
      <c r="K27" s="21">
        <v>42.7</v>
      </c>
      <c r="L27" s="21">
        <v>54.7</v>
      </c>
      <c r="M27" s="21">
        <v>30.4</v>
      </c>
      <c r="N27" s="15">
        <v>3.4000000000000002E-2</v>
      </c>
      <c r="O27" s="15">
        <v>2.5999999999999999E-2</v>
      </c>
    </row>
    <row r="28" spans="1:15" ht="15.75" x14ac:dyDescent="0.25">
      <c r="A28" s="6" t="s">
        <v>63</v>
      </c>
      <c r="B28" t="s">
        <v>62</v>
      </c>
      <c r="C28" t="s">
        <v>290</v>
      </c>
      <c r="D28" s="10">
        <v>0.71550000000000002</v>
      </c>
      <c r="E28" s="9" t="s">
        <v>202</v>
      </c>
      <c r="F28" s="10">
        <v>0.55220000000000002</v>
      </c>
      <c r="G28" s="11">
        <v>20371</v>
      </c>
      <c r="H28" s="18">
        <v>4152</v>
      </c>
      <c r="I28" s="18">
        <v>6473</v>
      </c>
      <c r="J28" s="18">
        <v>73982</v>
      </c>
      <c r="K28" s="21">
        <v>59</v>
      </c>
      <c r="L28" s="21">
        <v>70.5</v>
      </c>
      <c r="M28" s="21">
        <v>48.6</v>
      </c>
      <c r="N28" s="15">
        <v>3.2000000000000001E-2</v>
      </c>
      <c r="O28" s="15">
        <v>2.7E-2</v>
      </c>
    </row>
    <row r="29" spans="1:15" ht="15.75" x14ac:dyDescent="0.25">
      <c r="A29" s="6" t="s">
        <v>65</v>
      </c>
      <c r="B29" t="s">
        <v>64</v>
      </c>
      <c r="C29" t="s">
        <v>288</v>
      </c>
      <c r="D29" s="10">
        <v>0.88400000000000001</v>
      </c>
      <c r="E29" s="9" t="s">
        <v>214</v>
      </c>
      <c r="F29" s="10">
        <v>0.47820000000000001</v>
      </c>
      <c r="G29" s="11">
        <v>26200</v>
      </c>
      <c r="H29" s="18">
        <v>4314</v>
      </c>
      <c r="I29" s="18">
        <v>14445</v>
      </c>
      <c r="J29" s="18">
        <v>120924</v>
      </c>
      <c r="K29" s="19">
        <v>40.4</v>
      </c>
      <c r="L29" s="19">
        <v>52.2</v>
      </c>
      <c r="M29" s="20">
        <v>29.8</v>
      </c>
      <c r="N29" s="15">
        <v>6.3E-2</v>
      </c>
      <c r="O29" s="15">
        <v>5.7000000000000002E-2</v>
      </c>
    </row>
    <row r="30" spans="1:15" ht="15.75" x14ac:dyDescent="0.25">
      <c r="A30" s="6" t="s">
        <v>67</v>
      </c>
      <c r="B30" t="s">
        <v>66</v>
      </c>
      <c r="C30" t="s">
        <v>289</v>
      </c>
      <c r="D30" s="10">
        <v>0.78029999999999999</v>
      </c>
      <c r="E30" s="9" t="s">
        <v>205</v>
      </c>
      <c r="F30" s="10">
        <v>0.51380000000000003</v>
      </c>
      <c r="G30" s="11">
        <v>16113</v>
      </c>
      <c r="H30" s="18">
        <v>2344</v>
      </c>
      <c r="I30" s="18">
        <v>2000</v>
      </c>
      <c r="J30" s="18">
        <v>30028</v>
      </c>
      <c r="K30" s="21">
        <v>48.8</v>
      </c>
      <c r="L30" s="21">
        <v>61.9</v>
      </c>
      <c r="M30" s="21">
        <v>36.9</v>
      </c>
      <c r="N30" s="15">
        <v>3.4000000000000002E-2</v>
      </c>
      <c r="O30" s="15">
        <v>2.5000000000000001E-2</v>
      </c>
    </row>
    <row r="31" spans="1:15" ht="15.75" x14ac:dyDescent="0.25">
      <c r="A31" s="6" t="s">
        <v>69</v>
      </c>
      <c r="B31" t="s">
        <v>68</v>
      </c>
      <c r="C31" t="s">
        <v>289</v>
      </c>
      <c r="D31" s="10">
        <v>0.76280000000000003</v>
      </c>
      <c r="E31" s="9" t="s">
        <v>208</v>
      </c>
      <c r="F31" s="10">
        <v>0.52139999999999997</v>
      </c>
      <c r="G31" s="11">
        <v>105416</v>
      </c>
      <c r="H31" s="18">
        <v>2512</v>
      </c>
      <c r="I31" s="18">
        <v>17353</v>
      </c>
      <c r="J31" s="18">
        <v>205750</v>
      </c>
      <c r="K31" s="21">
        <v>43.8</v>
      </c>
      <c r="L31" s="21">
        <v>54.7</v>
      </c>
      <c r="M31" s="21">
        <v>33.299999999999997</v>
      </c>
      <c r="N31" s="15">
        <v>6.6000000000000003E-2</v>
      </c>
      <c r="O31" s="15">
        <v>3.6999999999999998E-2</v>
      </c>
    </row>
    <row r="32" spans="1:15" ht="15.75" x14ac:dyDescent="0.25">
      <c r="A32" s="6" t="s">
        <v>71</v>
      </c>
      <c r="B32" t="s">
        <v>70</v>
      </c>
      <c r="C32" t="s">
        <v>288</v>
      </c>
      <c r="D32" s="10">
        <v>0.69569999999999999</v>
      </c>
      <c r="E32" s="9" t="s">
        <v>211</v>
      </c>
      <c r="F32" s="10">
        <v>0.33300000000000002</v>
      </c>
      <c r="G32" s="11">
        <v>18750</v>
      </c>
      <c r="H32" s="18">
        <v>6462</v>
      </c>
      <c r="I32" s="18">
        <v>16393</v>
      </c>
      <c r="J32" s="18">
        <v>119718</v>
      </c>
      <c r="K32" s="19">
        <v>52.7</v>
      </c>
      <c r="L32" s="19">
        <v>63.6</v>
      </c>
      <c r="M32" s="20">
        <v>43.6</v>
      </c>
      <c r="N32" s="15">
        <v>7.0999999999999994E-2</v>
      </c>
      <c r="O32" s="15">
        <v>0.04</v>
      </c>
    </row>
    <row r="33" spans="1:15" ht="15.75" x14ac:dyDescent="0.25">
      <c r="A33" s="6" t="s">
        <v>73</v>
      </c>
      <c r="B33" t="s">
        <v>72</v>
      </c>
      <c r="C33" t="s">
        <v>289</v>
      </c>
      <c r="D33" s="10">
        <v>0.69059999999999999</v>
      </c>
      <c r="E33" s="9" t="s">
        <v>217</v>
      </c>
      <c r="F33" s="10">
        <v>0.55249999999999999</v>
      </c>
      <c r="G33" s="11">
        <v>270847</v>
      </c>
      <c r="H33" s="18">
        <v>3185</v>
      </c>
      <c r="I33" s="18">
        <v>70339</v>
      </c>
      <c r="J33" s="18">
        <v>545576</v>
      </c>
      <c r="K33" s="21">
        <v>53.4</v>
      </c>
      <c r="L33" s="21">
        <v>69.5</v>
      </c>
      <c r="M33" s="21">
        <v>39.4</v>
      </c>
      <c r="N33" s="15">
        <v>7.0000000000000007E-2</v>
      </c>
      <c r="O33" s="15">
        <v>4.2999999999999997E-2</v>
      </c>
    </row>
    <row r="34" spans="1:15" ht="15.75" x14ac:dyDescent="0.25">
      <c r="A34" s="6" t="s">
        <v>75</v>
      </c>
      <c r="B34" t="s">
        <v>74</v>
      </c>
      <c r="C34" t="s">
        <v>287</v>
      </c>
      <c r="D34" s="10">
        <v>0.69710000000000005</v>
      </c>
      <c r="E34" s="9" t="s">
        <v>196</v>
      </c>
      <c r="F34" s="10">
        <v>0.43859999999999999</v>
      </c>
      <c r="G34" s="11">
        <v>94532</v>
      </c>
      <c r="H34" s="18">
        <v>4872</v>
      </c>
      <c r="I34" s="18">
        <v>44451</v>
      </c>
      <c r="J34" s="18">
        <v>472052</v>
      </c>
      <c r="K34" s="19">
        <v>49.9</v>
      </c>
      <c r="L34" s="19">
        <v>64.599999999999994</v>
      </c>
      <c r="M34" s="20">
        <v>37.4</v>
      </c>
      <c r="N34" s="15">
        <v>4.9000000000000002E-2</v>
      </c>
      <c r="O34" s="15">
        <v>3.6999999999999998E-2</v>
      </c>
    </row>
    <row r="35" spans="1:15" ht="15.75" x14ac:dyDescent="0.25">
      <c r="A35" s="6" t="s">
        <v>77</v>
      </c>
      <c r="B35" t="s">
        <v>76</v>
      </c>
      <c r="C35" t="s">
        <v>290</v>
      </c>
      <c r="D35" s="10">
        <v>0.72760000000000002</v>
      </c>
      <c r="E35" s="9" t="s">
        <v>199</v>
      </c>
      <c r="F35" s="10">
        <v>0.43409999999999999</v>
      </c>
      <c r="G35" s="11">
        <v>8649</v>
      </c>
      <c r="H35" s="18">
        <v>4577</v>
      </c>
      <c r="I35" s="18">
        <v>2518</v>
      </c>
      <c r="J35" s="18">
        <v>32512</v>
      </c>
      <c r="K35" s="19">
        <v>45.4</v>
      </c>
      <c r="L35" s="19">
        <v>55.9</v>
      </c>
      <c r="M35" s="20">
        <v>36.1</v>
      </c>
      <c r="N35" s="15">
        <v>3.1E-2</v>
      </c>
      <c r="O35" s="15">
        <v>2.1000000000000001E-2</v>
      </c>
    </row>
    <row r="36" spans="1:15" ht="15.75" x14ac:dyDescent="0.25">
      <c r="A36" s="6" t="s">
        <v>79</v>
      </c>
      <c r="B36" t="s">
        <v>78</v>
      </c>
      <c r="C36" t="s">
        <v>290</v>
      </c>
      <c r="D36" s="10">
        <v>0.69669999999999999</v>
      </c>
      <c r="E36" s="9" t="s">
        <v>220</v>
      </c>
      <c r="F36" s="10">
        <v>0.49299999999999999</v>
      </c>
      <c r="G36" s="11">
        <v>122521</v>
      </c>
      <c r="H36" s="18">
        <v>4009</v>
      </c>
      <c r="I36" s="18">
        <v>36104</v>
      </c>
      <c r="J36" s="18">
        <v>432726</v>
      </c>
      <c r="K36" s="21">
        <v>50.7</v>
      </c>
      <c r="L36" s="21">
        <v>61.7</v>
      </c>
      <c r="M36" s="21">
        <v>41.6</v>
      </c>
      <c r="N36" s="15">
        <v>5.0999999999999997E-2</v>
      </c>
      <c r="O36" s="15">
        <v>0.04</v>
      </c>
    </row>
    <row r="37" spans="1:15" ht="15.75" x14ac:dyDescent="0.25">
      <c r="A37" s="6" t="s">
        <v>81</v>
      </c>
      <c r="B37" t="s">
        <v>80</v>
      </c>
      <c r="C37" t="s">
        <v>287</v>
      </c>
      <c r="D37" s="10">
        <v>0.76819999999999999</v>
      </c>
      <c r="E37" s="9" t="s">
        <v>223</v>
      </c>
      <c r="F37" s="10">
        <v>0.46139999999999998</v>
      </c>
      <c r="G37" s="11">
        <v>37595</v>
      </c>
      <c r="H37" s="18">
        <v>5870</v>
      </c>
      <c r="I37" s="18">
        <v>18255</v>
      </c>
      <c r="J37" s="18">
        <v>215410</v>
      </c>
      <c r="K37" s="21">
        <v>59.6</v>
      </c>
      <c r="L37" s="21">
        <v>72.3</v>
      </c>
      <c r="M37" s="21">
        <v>48.3</v>
      </c>
      <c r="N37" s="15">
        <v>0.04</v>
      </c>
      <c r="O37" s="15">
        <v>0.03</v>
      </c>
    </row>
    <row r="38" spans="1:15" ht="15.75" x14ac:dyDescent="0.25">
      <c r="A38" s="6" t="s">
        <v>83</v>
      </c>
      <c r="B38" t="s">
        <v>82</v>
      </c>
      <c r="C38" t="s">
        <v>288</v>
      </c>
      <c r="D38" s="10">
        <v>0.7913</v>
      </c>
      <c r="E38" s="9" t="s">
        <v>226</v>
      </c>
      <c r="F38" s="10">
        <v>0.50149999999999995</v>
      </c>
      <c r="G38" s="11">
        <v>42716</v>
      </c>
      <c r="H38" s="18">
        <v>5610</v>
      </c>
      <c r="I38" s="18">
        <v>12380</v>
      </c>
      <c r="J38" s="18">
        <v>225564</v>
      </c>
      <c r="K38" s="21">
        <v>48.4</v>
      </c>
      <c r="L38" s="21">
        <v>59.4</v>
      </c>
      <c r="M38" s="21">
        <v>36.4</v>
      </c>
      <c r="N38" s="15">
        <v>5.1999999999999998E-2</v>
      </c>
      <c r="O38" s="15">
        <v>4.2000000000000003E-2</v>
      </c>
    </row>
    <row r="39" spans="1:15" ht="15.75" x14ac:dyDescent="0.25">
      <c r="A39" s="6" t="s">
        <v>85</v>
      </c>
      <c r="B39" t="s">
        <v>84</v>
      </c>
      <c r="C39" t="s">
        <v>289</v>
      </c>
      <c r="D39" s="10">
        <v>0.76049999999999995</v>
      </c>
      <c r="E39" s="9" t="s">
        <v>228</v>
      </c>
      <c r="F39" s="10">
        <v>0.55069999999999997</v>
      </c>
      <c r="G39" s="11">
        <v>148327</v>
      </c>
      <c r="H39" s="18">
        <v>3678</v>
      </c>
      <c r="I39" s="18">
        <v>49793</v>
      </c>
      <c r="J39" s="18">
        <v>420334</v>
      </c>
      <c r="K39" s="21">
        <v>48.8</v>
      </c>
      <c r="L39" s="21">
        <v>59.7</v>
      </c>
      <c r="M39" s="21">
        <v>39.200000000000003</v>
      </c>
      <c r="N39" s="15">
        <v>0.06</v>
      </c>
      <c r="O39" s="15">
        <v>4.3999999999999997E-2</v>
      </c>
    </row>
    <row r="40" spans="1:15" ht="15.75" x14ac:dyDescent="0.25">
      <c r="A40" s="6" t="s">
        <v>87</v>
      </c>
      <c r="B40" t="s">
        <v>86</v>
      </c>
      <c r="C40" t="s">
        <v>289</v>
      </c>
      <c r="D40" s="10">
        <v>0.61750000000000005</v>
      </c>
      <c r="E40" s="9" t="s">
        <v>231</v>
      </c>
      <c r="F40" s="10">
        <v>0.68579999999999997</v>
      </c>
      <c r="G40" s="11">
        <v>12362</v>
      </c>
      <c r="H40" s="18">
        <v>2722</v>
      </c>
      <c r="I40" s="18">
        <v>2440</v>
      </c>
      <c r="J40" s="18">
        <v>26332</v>
      </c>
      <c r="K40" s="21">
        <v>50.1</v>
      </c>
      <c r="L40" s="21">
        <v>60</v>
      </c>
      <c r="M40" s="21">
        <v>41.3</v>
      </c>
      <c r="N40" s="15">
        <v>5.5E-2</v>
      </c>
      <c r="O40" s="15">
        <v>3.2000000000000001E-2</v>
      </c>
    </row>
    <row r="41" spans="1:15" ht="15.75" x14ac:dyDescent="0.25">
      <c r="A41" s="6" t="s">
        <v>89</v>
      </c>
      <c r="B41" t="s">
        <v>88</v>
      </c>
      <c r="C41" t="s">
        <v>287</v>
      </c>
      <c r="D41" s="10">
        <v>0.74</v>
      </c>
      <c r="E41" s="9" t="s">
        <v>234</v>
      </c>
      <c r="F41" s="10">
        <v>0.40150000000000002</v>
      </c>
      <c r="G41" s="11">
        <v>45742</v>
      </c>
      <c r="H41" s="18">
        <v>5973</v>
      </c>
      <c r="I41" s="18">
        <v>27691</v>
      </c>
      <c r="J41" s="18">
        <v>283974</v>
      </c>
      <c r="K41" s="21">
        <v>62.4</v>
      </c>
      <c r="L41" s="21">
        <v>74.7</v>
      </c>
      <c r="M41" s="21">
        <v>52</v>
      </c>
      <c r="N41" s="15">
        <v>3.9E-2</v>
      </c>
      <c r="O41" s="15">
        <v>3.2000000000000001E-2</v>
      </c>
    </row>
    <row r="42" spans="1:15" ht="15.75" x14ac:dyDescent="0.25">
      <c r="A42" s="6" t="s">
        <v>91</v>
      </c>
      <c r="B42" t="s">
        <v>90</v>
      </c>
      <c r="C42" t="s">
        <v>290</v>
      </c>
      <c r="D42" s="10">
        <v>0.82210000000000005</v>
      </c>
      <c r="E42" s="9" t="s">
        <v>237</v>
      </c>
      <c r="F42" s="10">
        <v>0.4778</v>
      </c>
      <c r="G42" s="11">
        <v>11154</v>
      </c>
      <c r="H42" s="18">
        <v>4415</v>
      </c>
      <c r="I42" s="18">
        <v>4476</v>
      </c>
      <c r="J42" s="18">
        <v>34936</v>
      </c>
      <c r="K42" s="21">
        <v>45.2</v>
      </c>
      <c r="L42" s="21">
        <v>57.5</v>
      </c>
      <c r="M42" s="21">
        <v>33.799999999999997</v>
      </c>
      <c r="N42" s="15">
        <v>2.5999999999999999E-2</v>
      </c>
      <c r="O42" s="15">
        <v>2.1000000000000001E-2</v>
      </c>
    </row>
    <row r="43" spans="1:15" ht="15.75" x14ac:dyDescent="0.25">
      <c r="A43" s="6" t="s">
        <v>93</v>
      </c>
      <c r="B43" t="s">
        <v>92</v>
      </c>
      <c r="C43" t="s">
        <v>287</v>
      </c>
      <c r="D43" s="10">
        <v>0.69830000000000003</v>
      </c>
      <c r="E43" s="9" t="s">
        <v>240</v>
      </c>
      <c r="F43" s="10">
        <v>0.55110000000000003</v>
      </c>
      <c r="G43" s="11">
        <v>64295</v>
      </c>
      <c r="H43" s="18">
        <v>5658</v>
      </c>
      <c r="I43" s="18">
        <v>46328</v>
      </c>
      <c r="J43" s="18">
        <v>343350</v>
      </c>
      <c r="K43" s="21">
        <v>57.6</v>
      </c>
      <c r="L43" s="21">
        <v>69.400000000000006</v>
      </c>
      <c r="M43" s="21">
        <v>47.5</v>
      </c>
      <c r="N43" s="15">
        <v>4.4999999999999998E-2</v>
      </c>
      <c r="O43" s="15">
        <v>3.4000000000000002E-2</v>
      </c>
    </row>
    <row r="44" spans="1:15" ht="15.75" x14ac:dyDescent="0.25">
      <c r="A44" s="6" t="s">
        <v>95</v>
      </c>
      <c r="B44" t="s">
        <v>94</v>
      </c>
      <c r="C44" t="s">
        <v>287</v>
      </c>
      <c r="D44" s="10">
        <v>0.75549999999999995</v>
      </c>
      <c r="E44" s="9" t="s">
        <v>243</v>
      </c>
      <c r="F44" s="10">
        <v>0.45319999999999999</v>
      </c>
      <c r="G44" s="11">
        <v>246812</v>
      </c>
      <c r="H44" s="18">
        <v>4937</v>
      </c>
      <c r="I44" s="18">
        <v>131084</v>
      </c>
      <c r="J44" s="18">
        <v>1318320</v>
      </c>
      <c r="K44" s="21">
        <v>64.8</v>
      </c>
      <c r="L44" s="21">
        <v>78.099999999999994</v>
      </c>
      <c r="M44" s="21">
        <v>53.5</v>
      </c>
      <c r="N44" s="15">
        <v>5.6000000000000001E-2</v>
      </c>
      <c r="O44" s="15">
        <v>3.9E-2</v>
      </c>
    </row>
    <row r="45" spans="1:15" ht="15.75" x14ac:dyDescent="0.25">
      <c r="A45" s="6" t="s">
        <v>97</v>
      </c>
      <c r="B45" t="s">
        <v>96</v>
      </c>
      <c r="C45" t="s">
        <v>288</v>
      </c>
      <c r="D45" s="10">
        <v>0.81869999999999998</v>
      </c>
      <c r="E45" s="9" t="s">
        <v>246</v>
      </c>
      <c r="F45" s="10">
        <v>0.55000000000000004</v>
      </c>
      <c r="G45" s="11">
        <v>24447</v>
      </c>
      <c r="H45" s="18">
        <v>5190</v>
      </c>
      <c r="I45" s="18">
        <v>8471</v>
      </c>
      <c r="J45" s="18">
        <v>160182</v>
      </c>
      <c r="K45" s="21">
        <v>48.6</v>
      </c>
      <c r="L45" s="21">
        <v>62</v>
      </c>
      <c r="M45" s="21">
        <v>36.4</v>
      </c>
      <c r="N45" s="15">
        <v>2.7E-2</v>
      </c>
      <c r="O45" s="15">
        <v>2.3E-2</v>
      </c>
    </row>
    <row r="46" spans="1:15" ht="15.75" x14ac:dyDescent="0.25">
      <c r="A46" s="6" t="s">
        <v>99</v>
      </c>
      <c r="B46" t="s">
        <v>98</v>
      </c>
      <c r="C46" t="s">
        <v>289</v>
      </c>
      <c r="D46" s="10">
        <v>0.58989999999999998</v>
      </c>
      <c r="E46" s="9" t="s">
        <v>252</v>
      </c>
      <c r="F46" s="10">
        <v>0.57730000000000004</v>
      </c>
      <c r="G46" s="11">
        <v>7951</v>
      </c>
      <c r="H46" s="18">
        <v>2607</v>
      </c>
      <c r="I46" s="18">
        <v>1081</v>
      </c>
      <c r="J46" s="18">
        <v>15172</v>
      </c>
      <c r="K46" s="19">
        <v>55.1</v>
      </c>
      <c r="L46" s="19">
        <v>66.900000000000006</v>
      </c>
      <c r="M46" s="20">
        <v>45.1</v>
      </c>
      <c r="N46" s="15">
        <v>3.6999999999999998E-2</v>
      </c>
      <c r="O46" s="15">
        <v>2.5999999999999999E-2</v>
      </c>
    </row>
    <row r="47" spans="1:15" ht="15.75" x14ac:dyDescent="0.25">
      <c r="A47" s="6" t="s">
        <v>101</v>
      </c>
      <c r="B47" t="s">
        <v>100</v>
      </c>
      <c r="C47" t="s">
        <v>287</v>
      </c>
      <c r="D47" s="10">
        <v>0.73580000000000001</v>
      </c>
      <c r="E47" s="9" t="s">
        <v>249</v>
      </c>
      <c r="F47" s="10">
        <v>0.51429999999999998</v>
      </c>
      <c r="G47" s="11">
        <v>78989</v>
      </c>
      <c r="H47" s="18">
        <v>3121</v>
      </c>
      <c r="I47" s="18">
        <v>17925</v>
      </c>
      <c r="J47" s="18">
        <v>250228</v>
      </c>
      <c r="K47" s="21">
        <v>42.9</v>
      </c>
      <c r="L47" s="21">
        <v>53.4</v>
      </c>
      <c r="M47" s="21">
        <v>32.700000000000003</v>
      </c>
      <c r="N47" s="15">
        <v>3.9E-2</v>
      </c>
      <c r="O47" s="15">
        <v>2.9000000000000001E-2</v>
      </c>
    </row>
    <row r="48" spans="1:15" ht="15.75" x14ac:dyDescent="0.25">
      <c r="A48" s="6" t="s">
        <v>103</v>
      </c>
      <c r="B48" t="s">
        <v>102</v>
      </c>
      <c r="C48" t="s">
        <v>288</v>
      </c>
      <c r="D48" s="10">
        <v>0.79679999999999995</v>
      </c>
      <c r="E48" s="9" t="s">
        <v>255</v>
      </c>
      <c r="F48" s="10">
        <v>0.49130000000000001</v>
      </c>
      <c r="G48" s="11">
        <v>71277</v>
      </c>
      <c r="H48" s="18">
        <v>5759</v>
      </c>
      <c r="I48" s="18">
        <v>22596</v>
      </c>
      <c r="J48" s="18">
        <v>420446</v>
      </c>
      <c r="K48" s="21">
        <v>48.3</v>
      </c>
      <c r="L48" s="21">
        <v>57</v>
      </c>
      <c r="M48" s="21">
        <v>37.6</v>
      </c>
      <c r="N48" s="15">
        <v>5.1999999999999998E-2</v>
      </c>
      <c r="O48" s="15">
        <v>4.2000000000000003E-2</v>
      </c>
    </row>
    <row r="49" spans="1:15" ht="15.75" x14ac:dyDescent="0.25">
      <c r="A49" s="6" t="s">
        <v>105</v>
      </c>
      <c r="B49" t="s">
        <v>104</v>
      </c>
      <c r="C49" t="s">
        <v>287</v>
      </c>
      <c r="D49" s="10">
        <v>0.83399999999999996</v>
      </c>
      <c r="E49" s="9" t="s">
        <v>261</v>
      </c>
      <c r="F49" s="10">
        <v>0.49890000000000001</v>
      </c>
      <c r="G49" s="11">
        <v>22790</v>
      </c>
      <c r="H49" s="18">
        <v>3155</v>
      </c>
      <c r="I49" s="18">
        <v>6352</v>
      </c>
      <c r="J49" s="18">
        <v>49952</v>
      </c>
      <c r="K49" s="21">
        <v>43.1</v>
      </c>
      <c r="L49" s="21">
        <v>54</v>
      </c>
      <c r="M49" s="21">
        <v>33.700000000000003</v>
      </c>
      <c r="N49" s="15">
        <v>5.0999999999999997E-2</v>
      </c>
      <c r="O49" s="15">
        <v>3.9E-2</v>
      </c>
    </row>
    <row r="50" spans="1:15" ht="15.75" x14ac:dyDescent="0.25">
      <c r="A50" s="6" t="s">
        <v>107</v>
      </c>
      <c r="B50" t="s">
        <v>106</v>
      </c>
      <c r="C50" t="s">
        <v>290</v>
      </c>
      <c r="D50" s="10">
        <v>0.79369999999999996</v>
      </c>
      <c r="E50" s="9" t="s">
        <v>258</v>
      </c>
      <c r="F50" s="10">
        <v>0.54820000000000002</v>
      </c>
      <c r="G50" s="11">
        <v>58220</v>
      </c>
      <c r="H50" s="18">
        <v>3295</v>
      </c>
      <c r="I50" s="18">
        <v>18861</v>
      </c>
      <c r="J50" s="18">
        <v>173308</v>
      </c>
      <c r="K50" s="19">
        <v>51.8</v>
      </c>
      <c r="L50" s="19">
        <v>63.5</v>
      </c>
      <c r="M50" s="20">
        <v>41.7</v>
      </c>
      <c r="N50" s="15">
        <v>3.7999999999999999E-2</v>
      </c>
      <c r="O50" s="15">
        <v>2.9000000000000001E-2</v>
      </c>
    </row>
    <row r="51" spans="1:15" ht="15.75" x14ac:dyDescent="0.25">
      <c r="A51" s="6" t="s">
        <v>109</v>
      </c>
      <c r="B51" t="s">
        <v>108</v>
      </c>
      <c r="C51" t="s">
        <v>288</v>
      </c>
      <c r="D51" s="10">
        <v>0.97009999999999996</v>
      </c>
      <c r="E51" s="9" t="s">
        <v>264</v>
      </c>
      <c r="F51" s="10">
        <v>0.43440000000000001</v>
      </c>
      <c r="G51" s="11">
        <v>6399</v>
      </c>
      <c r="H51" s="18">
        <v>3455</v>
      </c>
      <c r="I51" s="18">
        <v>1364</v>
      </c>
      <c r="J51" s="18">
        <v>18758</v>
      </c>
      <c r="K51" s="21">
        <v>42</v>
      </c>
      <c r="L51" s="21">
        <v>55.2</v>
      </c>
      <c r="M51" s="21">
        <v>29.3</v>
      </c>
      <c r="N51" s="15">
        <v>4.5999999999999999E-2</v>
      </c>
      <c r="O51" s="15">
        <v>3.5999999999999997E-2</v>
      </c>
    </row>
    <row r="53" spans="1:15" x14ac:dyDescent="0.25">
      <c r="A53"/>
    </row>
    <row r="54" spans="1:15" x14ac:dyDescent="0.25">
      <c r="A54"/>
    </row>
    <row r="55" spans="1:15" x14ac:dyDescent="0.25">
      <c r="A55"/>
    </row>
    <row r="56" spans="1:15" x14ac:dyDescent="0.25">
      <c r="A56"/>
    </row>
    <row r="57" spans="1:15" ht="15.75" x14ac:dyDescent="0.25">
      <c r="A57" s="38" t="s">
        <v>7</v>
      </c>
      <c r="B57" s="41" t="s">
        <v>284</v>
      </c>
    </row>
    <row r="58" spans="1:15" ht="15.75" x14ac:dyDescent="0.25">
      <c r="A58" s="39" t="s">
        <v>11</v>
      </c>
      <c r="B58" s="42">
        <v>45673</v>
      </c>
    </row>
    <row r="59" spans="1:15" ht="15.75" x14ac:dyDescent="0.25">
      <c r="A59" s="40" t="s">
        <v>13</v>
      </c>
      <c r="B59" s="43">
        <v>9975</v>
      </c>
    </row>
    <row r="60" spans="1:15" ht="15.75" x14ac:dyDescent="0.25">
      <c r="A60" s="39" t="s">
        <v>15</v>
      </c>
      <c r="B60" s="42">
        <v>64980</v>
      </c>
    </row>
    <row r="61" spans="1:15" ht="15.75" x14ac:dyDescent="0.25">
      <c r="A61" s="40" t="s">
        <v>17</v>
      </c>
      <c r="B61" s="43">
        <v>28300</v>
      </c>
    </row>
    <row r="62" spans="1:15" ht="15.75" x14ac:dyDescent="0.25">
      <c r="A62" s="39" t="s">
        <v>19</v>
      </c>
      <c r="B62" s="42">
        <v>405451</v>
      </c>
    </row>
    <row r="63" spans="1:15" ht="15.75" x14ac:dyDescent="0.25">
      <c r="A63" s="40" t="s">
        <v>21</v>
      </c>
      <c r="B63" s="43">
        <v>49849</v>
      </c>
    </row>
    <row r="64" spans="1:15" ht="15.75" x14ac:dyDescent="0.25">
      <c r="A64" s="39" t="s">
        <v>23</v>
      </c>
      <c r="B64" s="42">
        <v>44425</v>
      </c>
    </row>
    <row r="65" spans="1:2" ht="15.75" x14ac:dyDescent="0.25">
      <c r="A65" s="40" t="s">
        <v>25</v>
      </c>
      <c r="B65" s="43">
        <v>12729</v>
      </c>
    </row>
    <row r="66" spans="1:2" ht="15.75" x14ac:dyDescent="0.25">
      <c r="A66" s="39" t="s">
        <v>27</v>
      </c>
      <c r="B66" s="42">
        <v>214408</v>
      </c>
    </row>
    <row r="67" spans="1:2" ht="15.75" x14ac:dyDescent="0.25">
      <c r="A67" s="40" t="s">
        <v>29</v>
      </c>
      <c r="B67" s="43">
        <v>93803</v>
      </c>
    </row>
    <row r="68" spans="1:2" ht="15.75" x14ac:dyDescent="0.25">
      <c r="A68" s="39" t="s">
        <v>31</v>
      </c>
      <c r="B68" s="42">
        <v>14480</v>
      </c>
    </row>
    <row r="69" spans="1:2" ht="15.75" x14ac:dyDescent="0.25">
      <c r="A69" s="40" t="s">
        <v>33</v>
      </c>
      <c r="B69" s="43">
        <v>14886</v>
      </c>
    </row>
    <row r="70" spans="1:2" ht="15.75" x14ac:dyDescent="0.25">
      <c r="A70" s="39" t="s">
        <v>35</v>
      </c>
      <c r="B70" s="42">
        <v>128263</v>
      </c>
    </row>
    <row r="71" spans="1:2" ht="15.75" x14ac:dyDescent="0.25">
      <c r="A71" s="40" t="s">
        <v>37</v>
      </c>
      <c r="B71" s="43">
        <v>71040</v>
      </c>
    </row>
    <row r="72" spans="1:2" ht="15.75" x14ac:dyDescent="0.25">
      <c r="A72" s="39" t="s">
        <v>39</v>
      </c>
      <c r="B72" s="42">
        <v>30968</v>
      </c>
    </row>
    <row r="73" spans="1:2" ht="15.75" x14ac:dyDescent="0.25">
      <c r="A73" s="40" t="s">
        <v>41</v>
      </c>
      <c r="B73" s="43">
        <v>27414</v>
      </c>
    </row>
    <row r="74" spans="1:2" ht="15.75" x14ac:dyDescent="0.25">
      <c r="A74" s="39" t="s">
        <v>43</v>
      </c>
      <c r="B74" s="42">
        <v>45922</v>
      </c>
    </row>
    <row r="75" spans="1:2" ht="15.75" x14ac:dyDescent="0.25">
      <c r="A75" s="40" t="s">
        <v>45</v>
      </c>
      <c r="B75" s="43">
        <v>48845</v>
      </c>
    </row>
    <row r="76" spans="1:2" ht="15.75" x14ac:dyDescent="0.25">
      <c r="A76" s="39" t="s">
        <v>47</v>
      </c>
      <c r="B76" s="42">
        <v>16306</v>
      </c>
    </row>
    <row r="77" spans="1:2" ht="15.75" x14ac:dyDescent="0.25">
      <c r="A77" s="40" t="s">
        <v>49</v>
      </c>
      <c r="B77" s="43">
        <v>65641</v>
      </c>
    </row>
    <row r="78" spans="1:2" ht="15.75" x14ac:dyDescent="0.25">
      <c r="A78" s="39" t="s">
        <v>51</v>
      </c>
      <c r="B78" s="42">
        <v>91817</v>
      </c>
    </row>
    <row r="79" spans="1:2" ht="15.75" x14ac:dyDescent="0.25">
      <c r="A79" s="40" t="s">
        <v>53</v>
      </c>
      <c r="B79" s="43">
        <v>98638</v>
      </c>
    </row>
    <row r="80" spans="1:2" ht="15.75" x14ac:dyDescent="0.25">
      <c r="A80" s="39" t="s">
        <v>55</v>
      </c>
      <c r="B80" s="42">
        <v>61357</v>
      </c>
    </row>
    <row r="81" spans="1:2" ht="15.75" x14ac:dyDescent="0.25">
      <c r="A81" s="40" t="s">
        <v>57</v>
      </c>
      <c r="B81" s="43">
        <v>27870</v>
      </c>
    </row>
    <row r="82" spans="1:2" ht="15.75" x14ac:dyDescent="0.25">
      <c r="A82" s="39" t="s">
        <v>59</v>
      </c>
      <c r="B82" s="42">
        <v>61031</v>
      </c>
    </row>
    <row r="83" spans="1:2" ht="15.75" x14ac:dyDescent="0.25">
      <c r="A83" s="40" t="s">
        <v>61</v>
      </c>
      <c r="B83" s="43">
        <v>11035</v>
      </c>
    </row>
    <row r="84" spans="1:2" ht="15.75" x14ac:dyDescent="0.25">
      <c r="A84" s="39" t="s">
        <v>63</v>
      </c>
      <c r="B84" s="42">
        <v>20371</v>
      </c>
    </row>
    <row r="85" spans="1:2" ht="15.75" x14ac:dyDescent="0.25">
      <c r="A85" s="40" t="s">
        <v>65</v>
      </c>
      <c r="B85" s="43">
        <v>26200</v>
      </c>
    </row>
    <row r="86" spans="1:2" ht="15.75" x14ac:dyDescent="0.25">
      <c r="A86" s="39" t="s">
        <v>67</v>
      </c>
      <c r="B86" s="42">
        <v>16113</v>
      </c>
    </row>
    <row r="87" spans="1:2" ht="15.75" x14ac:dyDescent="0.25">
      <c r="A87" s="40" t="s">
        <v>69</v>
      </c>
      <c r="B87" s="43">
        <v>105416</v>
      </c>
    </row>
    <row r="88" spans="1:2" ht="15.75" x14ac:dyDescent="0.25">
      <c r="A88" s="39" t="s">
        <v>71</v>
      </c>
      <c r="B88" s="42">
        <v>18750</v>
      </c>
    </row>
    <row r="89" spans="1:2" ht="15.75" x14ac:dyDescent="0.25">
      <c r="A89" s="40" t="s">
        <v>73</v>
      </c>
      <c r="B89" s="43">
        <v>270847</v>
      </c>
    </row>
    <row r="90" spans="1:2" ht="15.75" x14ac:dyDescent="0.25">
      <c r="A90" s="39" t="s">
        <v>75</v>
      </c>
      <c r="B90" s="42">
        <v>94532</v>
      </c>
    </row>
    <row r="91" spans="1:2" ht="15.75" x14ac:dyDescent="0.25">
      <c r="A91" s="40" t="s">
        <v>77</v>
      </c>
      <c r="B91" s="43">
        <v>8649</v>
      </c>
    </row>
    <row r="92" spans="1:2" ht="15.75" x14ac:dyDescent="0.25">
      <c r="A92" s="39" t="s">
        <v>79</v>
      </c>
      <c r="B92" s="42">
        <v>122521</v>
      </c>
    </row>
    <row r="93" spans="1:2" ht="15.75" x14ac:dyDescent="0.25">
      <c r="A93" s="40" t="s">
        <v>81</v>
      </c>
      <c r="B93" s="43">
        <v>37595</v>
      </c>
    </row>
    <row r="94" spans="1:2" ht="15.75" x14ac:dyDescent="0.25">
      <c r="A94" s="39" t="s">
        <v>83</v>
      </c>
      <c r="B94" s="42">
        <v>42716</v>
      </c>
    </row>
    <row r="95" spans="1:2" ht="15.75" x14ac:dyDescent="0.25">
      <c r="A95" s="40" t="s">
        <v>85</v>
      </c>
      <c r="B95" s="43">
        <v>148327</v>
      </c>
    </row>
    <row r="96" spans="1:2" ht="15.75" x14ac:dyDescent="0.25">
      <c r="A96" s="39" t="s">
        <v>87</v>
      </c>
      <c r="B96" s="42">
        <v>12362</v>
      </c>
    </row>
    <row r="97" spans="1:2" ht="15.75" x14ac:dyDescent="0.25">
      <c r="A97" s="40" t="s">
        <v>89</v>
      </c>
      <c r="B97" s="43">
        <v>45742</v>
      </c>
    </row>
    <row r="98" spans="1:2" ht="15.75" x14ac:dyDescent="0.25">
      <c r="A98" s="39" t="s">
        <v>91</v>
      </c>
      <c r="B98" s="42">
        <v>11154</v>
      </c>
    </row>
    <row r="99" spans="1:2" ht="15.75" x14ac:dyDescent="0.25">
      <c r="A99" s="40" t="s">
        <v>93</v>
      </c>
      <c r="B99" s="43">
        <v>64295</v>
      </c>
    </row>
    <row r="100" spans="1:2" ht="15.75" x14ac:dyDescent="0.25">
      <c r="A100" s="39" t="s">
        <v>95</v>
      </c>
      <c r="B100" s="42">
        <v>246812</v>
      </c>
    </row>
    <row r="101" spans="1:2" ht="15.75" x14ac:dyDescent="0.25">
      <c r="A101" s="40" t="s">
        <v>97</v>
      </c>
      <c r="B101" s="43">
        <v>24447</v>
      </c>
    </row>
    <row r="102" spans="1:2" ht="15.75" x14ac:dyDescent="0.25">
      <c r="A102" s="39" t="s">
        <v>99</v>
      </c>
      <c r="B102" s="42">
        <v>7951</v>
      </c>
    </row>
    <row r="103" spans="1:2" ht="15.75" x14ac:dyDescent="0.25">
      <c r="A103" s="40" t="s">
        <v>101</v>
      </c>
      <c r="B103" s="43">
        <v>78989</v>
      </c>
    </row>
    <row r="104" spans="1:2" ht="15.75" x14ac:dyDescent="0.25">
      <c r="A104" s="39" t="s">
        <v>103</v>
      </c>
      <c r="B104" s="42">
        <v>71277</v>
      </c>
    </row>
    <row r="105" spans="1:2" ht="15.75" x14ac:dyDescent="0.25">
      <c r="A105" s="40" t="s">
        <v>105</v>
      </c>
      <c r="B105" s="43">
        <v>22790</v>
      </c>
    </row>
    <row r="106" spans="1:2" ht="15.75" x14ac:dyDescent="0.25">
      <c r="A106" s="39" t="s">
        <v>107</v>
      </c>
      <c r="B106" s="42">
        <v>58220</v>
      </c>
    </row>
    <row r="107" spans="1:2" ht="15.75" x14ac:dyDescent="0.25">
      <c r="A107" s="40" t="s">
        <v>109</v>
      </c>
      <c r="B107" s="43">
        <v>6399</v>
      </c>
    </row>
  </sheetData>
  <phoneticPr fontId="8" type="noConversion"/>
  <hyperlinks>
    <hyperlink ref="A3" r:id="rId1" tooltip="Admission Statistics for Alaska Colleges" display="https://www.univstats.com/states/alaska" xr:uid="{014AD4E0-0775-1D42-9CAF-C9A51F9074BE}"/>
    <hyperlink ref="A2" r:id="rId2" tooltip="Admission Statistics for Alabama Colleges" display="https://www.univstats.com/states/alabama" xr:uid="{A3602042-2E44-9845-8894-54F020D62E57}"/>
    <hyperlink ref="A5" r:id="rId3" tooltip="Admission Statistics for Arkansas Colleges" display="https://www.univstats.com/states/arkansas" xr:uid="{F7C01D0F-955C-D444-BB9E-F53D15C38F69}"/>
    <hyperlink ref="A4" r:id="rId4" tooltip="Admission Statistics for Arizona Colleges" display="https://www.univstats.com/states/arizona" xr:uid="{5C99735B-46BF-5048-B53F-53F24C370000}"/>
    <hyperlink ref="A6" r:id="rId5" tooltip="Admission Statistics for California Colleges" display="https://www.univstats.com/states/california" xr:uid="{3425B39F-B7C2-8346-BADF-2313AD24C6F1}"/>
    <hyperlink ref="A7" r:id="rId6" tooltip="Admission Statistics for Colorado Colleges" display="https://www.univstats.com/states/colorado" xr:uid="{0779B817-6CD1-5C4C-B8FE-B7600AE6CEF0}"/>
    <hyperlink ref="A8" r:id="rId7" tooltip="Admission Statistics for Connecticut Colleges" display="https://www.univstats.com/states/connecticut" xr:uid="{B050EA17-7654-1741-81C8-1F0F2DE8778E}"/>
    <hyperlink ref="A9" r:id="rId8" tooltip="Admission Statistics for Delaware Colleges" display="https://www.univstats.com/states/delaware" xr:uid="{AF71B3DC-F981-3E4C-9833-5F146215E801}"/>
    <hyperlink ref="A10" r:id="rId9" tooltip="Admission Statistics for Florida Colleges" display="https://www.univstats.com/states/florida" xr:uid="{F749CBFC-9A31-B84F-8DEC-06D3F63F049E}"/>
    <hyperlink ref="A11" r:id="rId10" tooltip="Admission Statistics for Georgia Colleges" display="https://www.univstats.com/states/georgia" xr:uid="{33E38175-8754-D548-8AA0-9C26C1C4B121}"/>
    <hyperlink ref="A12" r:id="rId11" tooltip="Admission Statistics for Hawaii Colleges" display="https://www.univstats.com/states/hawaii" xr:uid="{EE18F181-21D6-7B4D-A514-AD8C644C119D}"/>
    <hyperlink ref="A16" r:id="rId12" tooltip="Admission Statistics for Iowa Colleges" display="https://www.univstats.com/states/iowa" xr:uid="{7E39416E-91E0-1E49-A6DF-94A28C568A3B}"/>
    <hyperlink ref="A13" r:id="rId13" tooltip="Admission Statistics for Idaho Colleges" display="https://www.univstats.com/states/idaho" xr:uid="{B1CE4846-E34F-8D48-8684-F6B0226DA97B}"/>
    <hyperlink ref="A14" r:id="rId14" tooltip="Admission Statistics for Illinois Colleges" display="https://www.univstats.com/states/illinois" xr:uid="{C28986F3-3E0E-7541-BF88-0EB8D39CE516}"/>
    <hyperlink ref="A15" r:id="rId15" tooltip="Admission Statistics for Indiana Colleges" display="https://www.univstats.com/states/indiana" xr:uid="{B481A036-6A27-834D-B7E1-11DC82534BEA}"/>
    <hyperlink ref="A17" r:id="rId16" tooltip="Admission Statistics for Kansas Colleges" display="https://www.univstats.com/states/kansas" xr:uid="{FDD65F65-1FEE-D04A-83F0-741B70E91C77}"/>
    <hyperlink ref="A18" r:id="rId17" tooltip="Admission Statistics for Kentucky Colleges" display="https://www.univstats.com/states/kentucky" xr:uid="{BFC7A881-09C5-DB4F-AD5B-ED0CED4356C1}"/>
    <hyperlink ref="A19" r:id="rId18" tooltip="Admission Statistics for Louisiana Colleges" display="https://www.univstats.com/states/louisiana" xr:uid="{6FBCFB77-CD0E-214A-BBE1-284657143BDA}"/>
    <hyperlink ref="A22" r:id="rId19" tooltip="Admission Statistics for Massachusetts Colleges" display="https://www.univstats.com/states/massachusetts" xr:uid="{7596DE03-90BF-E74B-A971-4C33BAB10FB5}"/>
    <hyperlink ref="A21" r:id="rId20" tooltip="Admission Statistics for Maryland Colleges" display="https://www.univstats.com/states/maryland" xr:uid="{B8587BE3-AD8E-C04F-AF08-661870D51F75}"/>
    <hyperlink ref="A20" r:id="rId21" tooltip="Admission Statistics for Maine Colleges" display="https://www.univstats.com/states/maine" xr:uid="{50512646-1950-8241-B938-EFBDED8FEC45}"/>
    <hyperlink ref="A23" r:id="rId22" tooltip="Admission Statistics for Michigan Colleges" display="https://www.univstats.com/states/michigan" xr:uid="{733A4613-14F7-ED4F-8B4B-C6DE9F1B1781}"/>
    <hyperlink ref="A24" r:id="rId23" tooltip="Admission Statistics for Minnesota Colleges" display="https://www.univstats.com/states/minnesota" xr:uid="{1AC77ECF-91E9-B141-A244-4DFB8BEB2AC7}"/>
    <hyperlink ref="A26" r:id="rId24" tooltip="Admission Statistics for Missouri Colleges" display="https://www.univstats.com/states/missouri" xr:uid="{421A6AAD-5FE7-394A-BF8D-A9F491AF00C6}"/>
    <hyperlink ref="A25" r:id="rId25" tooltip="Admission Statistics for Mississippi Colleges" display="https://www.univstats.com/states/mississippi" xr:uid="{48687FD3-E19A-A047-8523-68E0CAE85072}"/>
    <hyperlink ref="A27" r:id="rId26" tooltip="Admission Statistics for Montana Colleges" display="https://www.univstats.com/states/montana" xr:uid="{3F0DE92E-9BBF-9943-B733-E7BC2515453E}"/>
    <hyperlink ref="A34" r:id="rId27" tooltip="Admission Statistics for North Carolina Colleges" display="https://www.univstats.com/states/north-carolina" xr:uid="{0B33348A-3E7C-2E44-908A-9B0E4C772BAE}"/>
    <hyperlink ref="A35" r:id="rId28" tooltip="Admission Statistics for North Dakota Colleges" display="https://www.univstats.com/states/north-dakota" xr:uid="{B7688948-B8AD-B94B-AD46-A6513AD9A75A}"/>
    <hyperlink ref="A28" r:id="rId29" tooltip="Admission Statistics for Nebraska Colleges" display="https://www.univstats.com/states/nebraska" xr:uid="{E08A5680-7521-7141-B621-E21B200B6839}"/>
    <hyperlink ref="A30" r:id="rId30" tooltip="Admission Statistics for New Hampshire Colleges" display="https://www.univstats.com/states/new-hampshire" xr:uid="{C5C96957-AFC0-8B40-AE25-1AFC06FBD88C}"/>
    <hyperlink ref="A31" r:id="rId31" tooltip="Admission Statistics for New Jersey Colleges" display="https://www.univstats.com/states/new-jersey" xr:uid="{354393D3-14E1-5940-A065-E666E9669159}"/>
    <hyperlink ref="A32" r:id="rId32" tooltip="Admission Statistics for New Mexico Colleges" display="https://www.univstats.com/states/new-mexico" xr:uid="{0A4C3916-8F33-7143-8317-9EED57E4956F}"/>
    <hyperlink ref="A29" r:id="rId33" tooltip="Admission Statistics for Nevada Colleges" display="https://www.univstats.com/states/nevada" xr:uid="{7F8F526A-6676-1B43-B64A-FB61E340BC49}"/>
    <hyperlink ref="A33" r:id="rId34" tooltip="Admission Statistics for New York Colleges" display="https://www.univstats.com/states/new-york" xr:uid="{DD5BA3B8-8F96-5349-901E-DCCDC442B3C7}"/>
    <hyperlink ref="A36" r:id="rId35" tooltip="Admission Statistics for Ohio Colleges" display="https://www.univstats.com/states/ohio" xr:uid="{1326C8D6-E203-5042-B7E2-977B64EF1822}"/>
    <hyperlink ref="A37" r:id="rId36" tooltip="Admission Statistics for Oklahoma Colleges" display="https://www.univstats.com/states/oklahoma" xr:uid="{ABC5483E-C84B-514D-B3E4-905424B6B978}"/>
    <hyperlink ref="A38" r:id="rId37" tooltip="Admission Statistics for Oregon Colleges" display="https://www.univstats.com/states/oregon" xr:uid="{00A0611B-BD87-AB44-895F-A7F4DE39ADC1}"/>
    <hyperlink ref="A39" r:id="rId38" tooltip="Admission Statistics for Pennsylvania Colleges" display="https://www.univstats.com/states/pennsylvania" xr:uid="{F03066B3-0EDF-F44D-BEF0-96E4B8963D12}"/>
    <hyperlink ref="A40" r:id="rId39" tooltip="Admission Statistics for Rhode Island Colleges" display="https://www.univstats.com/states/rhode-island" xr:uid="{54B5B29B-6652-9349-BF66-D7F602B8E83A}"/>
    <hyperlink ref="A41" r:id="rId40" tooltip="Admission Statistics for South Carolina Colleges" display="https://www.univstats.com/states/south-carolina" xr:uid="{862ADB9C-5A98-1448-BE1E-A8267C824D54}"/>
    <hyperlink ref="A42" r:id="rId41" tooltip="Admission Statistics for South Dakota Colleges" display="https://www.univstats.com/states/south-dakota" xr:uid="{F6901580-9354-7641-8DA2-4193EC1A4F23}"/>
    <hyperlink ref="A43" r:id="rId42" tooltip="Admission Statistics for Tennessee Colleges" display="https://www.univstats.com/states/tennessee" xr:uid="{B18E0C9B-4184-9349-B072-9408DE56F49C}"/>
    <hyperlink ref="A44" r:id="rId43" tooltip="Admission Statistics for Texas Colleges" display="https://www.univstats.com/states/texas" xr:uid="{468EA547-77F7-B044-BE5A-9F47B90B21CD}"/>
    <hyperlink ref="A45" r:id="rId44" tooltip="Admission Statistics for Utah Colleges" display="https://www.univstats.com/states/utah" xr:uid="{73F00739-1DCF-9447-B650-430DCC27BCD9}"/>
    <hyperlink ref="A47" r:id="rId45" tooltip="Admission Statistics for Virginia Colleges" display="https://www.univstats.com/states/virginia" xr:uid="{8DCC2DB5-0D69-E946-9403-44B95505ADC5}"/>
    <hyperlink ref="A46" r:id="rId46" tooltip="Admission Statistics for Vermont Colleges" display="https://www.univstats.com/states/vermont" xr:uid="{FB146BFD-2265-464D-9F13-9BE95349988C}"/>
    <hyperlink ref="A48" r:id="rId47" tooltip="Admission Statistics for Washington Colleges" display="https://www.univstats.com/states/washington" xr:uid="{F259CDF9-F0A1-A641-9E8F-86986030EEDE}"/>
    <hyperlink ref="A50" r:id="rId48" tooltip="Admission Statistics for Wisconsin Colleges" display="https://www.univstats.com/states/wisconsin" xr:uid="{22C17CE9-CC18-AC46-A1CE-B0C2FF3453A3}"/>
    <hyperlink ref="A49" r:id="rId49" tooltip="Admission Statistics for West Virginia Colleges" display="https://www.univstats.com/states/west-virginia" xr:uid="{3A1E6BE4-C879-0A47-83FD-A075F4E3FFF9}"/>
    <hyperlink ref="A51" r:id="rId50" tooltip="Admission Statistics for Wyoming Colleges" display="https://www.univstats.com/states/wyoming" xr:uid="{D3DFE8BE-E976-8149-A401-A48EC644CF32}"/>
    <hyperlink ref="A107" r:id="rId51" tooltip="Admission Statistics for Wyoming Colleges" display="https://www.univstats.com/states/wyoming" xr:uid="{CD2A6F2C-3F8C-486A-8C79-50AB9F5E8F7A}"/>
    <hyperlink ref="A105" r:id="rId52" tooltip="Admission Statistics for West Virginia Colleges" display="https://www.univstats.com/states/west-virginia" xr:uid="{EEBFCD19-4AF0-4C74-AFA9-2B39C45CDA9D}"/>
    <hyperlink ref="A106" r:id="rId53" tooltip="Admission Statistics for Wisconsin Colleges" display="https://www.univstats.com/states/wisconsin" xr:uid="{B8D9BC4C-36C2-4033-9AF9-0E90EDDBB399}"/>
    <hyperlink ref="A104" r:id="rId54" tooltip="Admission Statistics for Washington Colleges" display="https://www.univstats.com/states/washington" xr:uid="{2FFAC381-616A-4F61-A3C8-CB232989F7F9}"/>
    <hyperlink ref="A102" r:id="rId55" tooltip="Admission Statistics for Vermont Colleges" display="https://www.univstats.com/states/vermont" xr:uid="{099C458D-4453-4223-BB12-7A34AFD1FB0B}"/>
    <hyperlink ref="A103" r:id="rId56" tooltip="Admission Statistics for Virginia Colleges" display="https://www.univstats.com/states/virginia" xr:uid="{ABF44433-241E-442D-96BD-4819093B1AE4}"/>
    <hyperlink ref="A101" r:id="rId57" tooltip="Admission Statistics for Utah Colleges" display="https://www.univstats.com/states/utah" xr:uid="{3AE8F3DF-E385-412E-89C9-E4158474D19C}"/>
    <hyperlink ref="A100" r:id="rId58" tooltip="Admission Statistics for Texas Colleges" display="https://www.univstats.com/states/texas" xr:uid="{DC07C38E-43B3-4D8D-B425-7B445EDC6F58}"/>
    <hyperlink ref="A99" r:id="rId59" tooltip="Admission Statistics for Tennessee Colleges" display="https://www.univstats.com/states/tennessee" xr:uid="{EE2053D5-0930-4A98-865F-7D6687D21848}"/>
    <hyperlink ref="A98" r:id="rId60" tooltip="Admission Statistics for South Dakota Colleges" display="https://www.univstats.com/states/south-dakota" xr:uid="{58309D2F-6106-4B23-BEA3-7343EC12FFF9}"/>
    <hyperlink ref="A97" r:id="rId61" tooltip="Admission Statistics for South Carolina Colleges" display="https://www.univstats.com/states/south-carolina" xr:uid="{81195553-018B-4E4E-933C-B675AB6DD732}"/>
    <hyperlink ref="A96" r:id="rId62" tooltip="Admission Statistics for Rhode Island Colleges" display="https://www.univstats.com/states/rhode-island" xr:uid="{9A0168BA-05BF-43E4-944A-A676EC4B936F}"/>
    <hyperlink ref="A95" r:id="rId63" tooltip="Admission Statistics for Pennsylvania Colleges" display="https://www.univstats.com/states/pennsylvania" xr:uid="{4AEB4BF7-488B-418F-A143-C28F1E651239}"/>
    <hyperlink ref="A94" r:id="rId64" tooltip="Admission Statistics for Oregon Colleges" display="https://www.univstats.com/states/oregon" xr:uid="{24287F9C-8E96-46AA-B304-95AE436C763E}"/>
    <hyperlink ref="A93" r:id="rId65" tooltip="Admission Statistics for Oklahoma Colleges" display="https://www.univstats.com/states/oklahoma" xr:uid="{E58067EF-4323-4094-AE04-8DB84B3987E0}"/>
    <hyperlink ref="A92" r:id="rId66" tooltip="Admission Statistics for Ohio Colleges" display="https://www.univstats.com/states/ohio" xr:uid="{8E0400FF-67A1-4772-A047-841F438EE145}"/>
    <hyperlink ref="A89" r:id="rId67" tooltip="Admission Statistics for New York Colleges" display="https://www.univstats.com/states/new-york" xr:uid="{F33CF2F6-A941-4BC8-AED6-51A4FECE7AF3}"/>
    <hyperlink ref="A85" r:id="rId68" tooltip="Admission Statistics for Nevada Colleges" display="https://www.univstats.com/states/nevada" xr:uid="{B3866649-42BC-411E-B9C3-EEDA19AA0C90}"/>
    <hyperlink ref="A88" r:id="rId69" tooltip="Admission Statistics for New Mexico Colleges" display="https://www.univstats.com/states/new-mexico" xr:uid="{D2D2EAA7-7C4D-4BA1-A639-5E3DC2109724}"/>
    <hyperlink ref="A87" r:id="rId70" tooltip="Admission Statistics for New Jersey Colleges" display="https://www.univstats.com/states/new-jersey" xr:uid="{0B3C734A-F9A5-4F7D-808D-AFB9C709FFEA}"/>
    <hyperlink ref="A86" r:id="rId71" tooltip="Admission Statistics for New Hampshire Colleges" display="https://www.univstats.com/states/new-hampshire" xr:uid="{EE38FFDB-4642-433D-974C-10CEFB08E8AD}"/>
    <hyperlink ref="A84" r:id="rId72" tooltip="Admission Statistics for Nebraska Colleges" display="https://www.univstats.com/states/nebraska" xr:uid="{2B9B0449-C7DB-4B56-934B-B3E56E09D24E}"/>
    <hyperlink ref="A91" r:id="rId73" tooltip="Admission Statistics for North Dakota Colleges" display="https://www.univstats.com/states/north-dakota" xr:uid="{006A2434-708E-458E-AA3C-36A6890E75D4}"/>
    <hyperlink ref="A90" r:id="rId74" tooltip="Admission Statistics for North Carolina Colleges" display="https://www.univstats.com/states/north-carolina" xr:uid="{F4908325-207E-46CE-B7F1-B94659B2FCAC}"/>
    <hyperlink ref="A83" r:id="rId75" tooltip="Admission Statistics for Montana Colleges" display="https://www.univstats.com/states/montana" xr:uid="{14B6A65F-5161-48CC-815C-135CAED25D38}"/>
    <hyperlink ref="A81" r:id="rId76" tooltip="Admission Statistics for Mississippi Colleges" display="https://www.univstats.com/states/mississippi" xr:uid="{631CCEA6-1372-46D9-B774-728F32790E93}"/>
    <hyperlink ref="A82" r:id="rId77" tooltip="Admission Statistics for Missouri Colleges" display="https://www.univstats.com/states/missouri" xr:uid="{A37CD87B-1FB1-4565-9155-DC05C793583B}"/>
    <hyperlink ref="A80" r:id="rId78" tooltip="Admission Statistics for Minnesota Colleges" display="https://www.univstats.com/states/minnesota" xr:uid="{FDE55360-9B41-4693-8A11-1B6D63D84A8E}"/>
    <hyperlink ref="A79" r:id="rId79" tooltip="Admission Statistics for Michigan Colleges" display="https://www.univstats.com/states/michigan" xr:uid="{386E7238-9F96-481B-B7C9-D41A149BB6B3}"/>
    <hyperlink ref="A76" r:id="rId80" tooltip="Admission Statistics for Maine Colleges" display="https://www.univstats.com/states/maine" xr:uid="{E702A9FB-A03C-4C59-892A-822AE8410375}"/>
    <hyperlink ref="A77" r:id="rId81" tooltip="Admission Statistics for Maryland Colleges" display="https://www.univstats.com/states/maryland" xr:uid="{6B5E383B-7E3B-40FD-B1FC-0EFD14EEA623}"/>
    <hyperlink ref="A78" r:id="rId82" tooltip="Admission Statistics for Massachusetts Colleges" display="https://www.univstats.com/states/massachusetts" xr:uid="{5715078E-D868-41EB-8B9D-047DE7DA3246}"/>
    <hyperlink ref="A75" r:id="rId83" tooltip="Admission Statistics for Louisiana Colleges" display="https://www.univstats.com/states/louisiana" xr:uid="{97BFDEC0-60BC-4D84-8332-ED21BD44B4A2}"/>
    <hyperlink ref="A74" r:id="rId84" tooltip="Admission Statistics for Kentucky Colleges" display="https://www.univstats.com/states/kentucky" xr:uid="{C8E0D1D8-3939-44FD-9763-012811C59F72}"/>
    <hyperlink ref="A73" r:id="rId85" tooltip="Admission Statistics for Kansas Colleges" display="https://www.univstats.com/states/kansas" xr:uid="{81FD0910-A40B-4AEE-9D0B-2AC5164E4637}"/>
    <hyperlink ref="A71" r:id="rId86" tooltip="Admission Statistics for Indiana Colleges" display="https://www.univstats.com/states/indiana" xr:uid="{CAD50210-723C-4A33-A7CA-52C265C01558}"/>
    <hyperlink ref="A70" r:id="rId87" tooltip="Admission Statistics for Illinois Colleges" display="https://www.univstats.com/states/illinois" xr:uid="{C70B5170-FDA9-4908-911F-6640282B4AC9}"/>
    <hyperlink ref="A69" r:id="rId88" tooltip="Admission Statistics for Idaho Colleges" display="https://www.univstats.com/states/idaho" xr:uid="{AA75B163-898B-4E73-8E07-30A6D66BF317}"/>
    <hyperlink ref="A72" r:id="rId89" tooltip="Admission Statistics for Iowa Colleges" display="https://www.univstats.com/states/iowa" xr:uid="{B93BAFCE-1041-4726-B232-B4D42AF53564}"/>
    <hyperlink ref="A68" r:id="rId90" tooltip="Admission Statistics for Hawaii Colleges" display="https://www.univstats.com/states/hawaii" xr:uid="{160B2A76-66B0-4DC1-8424-51BD7263E697}"/>
    <hyperlink ref="A67" r:id="rId91" tooltip="Admission Statistics for Georgia Colleges" display="https://www.univstats.com/states/georgia" xr:uid="{86B69577-BE03-4FED-B860-73439EC7B721}"/>
    <hyperlink ref="A66" r:id="rId92" tooltip="Admission Statistics for Florida Colleges" display="https://www.univstats.com/states/florida" xr:uid="{1A5316E3-5BBF-4C80-8DC2-1979E0657D15}"/>
    <hyperlink ref="A65" r:id="rId93" tooltip="Admission Statistics for Delaware Colleges" display="https://www.univstats.com/states/delaware" xr:uid="{DBA75C54-8475-442A-B92D-91ED32130AAF}"/>
    <hyperlink ref="A64" r:id="rId94" tooltip="Admission Statistics for Connecticut Colleges" display="https://www.univstats.com/states/connecticut" xr:uid="{7FCA8698-CCD2-4880-B9C3-B9C2A0F84D1D}"/>
    <hyperlink ref="A63" r:id="rId95" tooltip="Admission Statistics for Colorado Colleges" display="https://www.univstats.com/states/colorado" xr:uid="{271300F3-46F4-4090-8649-09E0451829E5}"/>
    <hyperlink ref="A62" r:id="rId96" tooltip="Admission Statistics for California Colleges" display="https://www.univstats.com/states/california" xr:uid="{CC342F32-A4F8-4CBE-AC07-D52388238F8E}"/>
    <hyperlink ref="A60" r:id="rId97" tooltip="Admission Statistics for Arizona Colleges" display="https://www.univstats.com/states/arizona" xr:uid="{D3DAFDB9-0EEA-46D7-8ECA-CE4306C603C1}"/>
    <hyperlink ref="A61" r:id="rId98" tooltip="Admission Statistics for Arkansas Colleges" display="https://www.univstats.com/states/arkansas" xr:uid="{4F47704B-DC3C-4EAC-A0C0-EDF0B1BD99EC}"/>
    <hyperlink ref="A58" r:id="rId99" tooltip="Admission Statistics for Alabama Colleges" display="https://www.univstats.com/states/alabama" xr:uid="{DE63FAA5-D57B-433F-998D-5AF1B5571579}"/>
    <hyperlink ref="A59" r:id="rId100" tooltip="Admission Statistics for Alaska Colleges" display="https://www.univstats.com/states/alaska" xr:uid="{6746FB5C-774B-4B59-AD03-5D6A04DE1BDB}"/>
  </hyperlinks>
  <pageMargins left="0.7" right="0.7" top="0.75" bottom="0.75" header="0.3" footer="0.3"/>
  <drawing r:id="rId101"/>
  <legacyDrawing r:id="rId102"/>
  <mc:AlternateContent xmlns:mc="http://schemas.openxmlformats.org/markup-compatibility/2006">
    <mc:Choice Requires="x14">
      <controls>
        <mc:AlternateContent xmlns:mc="http://schemas.openxmlformats.org/markup-compatibility/2006">
          <mc:Choice Requires="x14">
            <control shapeId="10241" r:id="rId103" name="Button 1">
              <controlPr defaultSize="0" print="0" autoFill="0" autoPict="0" macro="[0]!Dashboard">
                <anchor moveWithCells="1" sizeWithCells="1">
                  <from>
                    <xdr:col>15</xdr:col>
                    <xdr:colOff>809625</xdr:colOff>
                    <xdr:row>1</xdr:row>
                    <xdr:rowOff>9525</xdr:rowOff>
                  </from>
                  <to>
                    <xdr:col>19</xdr:col>
                    <xdr:colOff>0</xdr:colOff>
                    <xdr:row>4</xdr:row>
                    <xdr:rowOff>0</xdr:rowOff>
                  </to>
                </anchor>
              </controlPr>
            </control>
          </mc:Choice>
        </mc:AlternateContent>
      </controls>
    </mc:Choice>
  </mc:AlternateContent>
  <tableParts count="1">
    <tablePart r:id="rId10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6D954-16C1-41B4-9AD7-409C9A4BA1B3}">
  <sheetPr codeName="Sheet9"/>
  <dimension ref="A1:N117"/>
  <sheetViews>
    <sheetView workbookViewId="0">
      <selection activeCell="F3" sqref="F3"/>
    </sheetView>
  </sheetViews>
  <sheetFormatPr defaultColWidth="8.85546875" defaultRowHeight="15" x14ac:dyDescent="0.25"/>
  <cols>
    <col min="1" max="1" width="13.140625" bestFit="1" customWidth="1"/>
    <col min="2" max="2" width="20.140625" bestFit="1" customWidth="1"/>
    <col min="3" max="3" width="19.7109375" bestFit="1" customWidth="1"/>
    <col min="4" max="4" width="30.42578125" bestFit="1" customWidth="1"/>
    <col min="5" max="5" width="13.140625" bestFit="1" customWidth="1"/>
    <col min="6" max="6" width="25.85546875" bestFit="1" customWidth="1"/>
    <col min="8" max="9" width="13.140625" bestFit="1" customWidth="1"/>
    <col min="10" max="11" width="34.7109375" bestFit="1" customWidth="1"/>
    <col min="12" max="13" width="13.140625" bestFit="1" customWidth="1"/>
    <col min="14" max="14" width="43" bestFit="1" customWidth="1"/>
    <col min="15" max="15" width="34.7109375" bestFit="1" customWidth="1"/>
  </cols>
  <sheetData>
    <row r="1" spans="1:14" ht="28.5" x14ac:dyDescent="0.45">
      <c r="A1" s="50" t="s">
        <v>336</v>
      </c>
    </row>
    <row r="2" spans="1:14" ht="21" x14ac:dyDescent="0.35">
      <c r="A2" s="48" t="s">
        <v>283</v>
      </c>
      <c r="E2" s="48" t="s">
        <v>319</v>
      </c>
      <c r="I2" s="48" t="s">
        <v>340</v>
      </c>
      <c r="M2" s="48" t="s">
        <v>305</v>
      </c>
    </row>
    <row r="3" spans="1:14" x14ac:dyDescent="0.25">
      <c r="A3" s="17" t="s">
        <v>291</v>
      </c>
      <c r="B3" t="s">
        <v>292</v>
      </c>
      <c r="C3" t="s">
        <v>293</v>
      </c>
      <c r="E3" s="17" t="s">
        <v>291</v>
      </c>
      <c r="F3" t="s">
        <v>295</v>
      </c>
      <c r="I3" s="17" t="s">
        <v>291</v>
      </c>
      <c r="J3" t="s">
        <v>296</v>
      </c>
      <c r="K3" t="s">
        <v>337</v>
      </c>
      <c r="M3" s="17" t="s">
        <v>291</v>
      </c>
      <c r="N3" t="s">
        <v>294</v>
      </c>
    </row>
    <row r="4" spans="1:14" x14ac:dyDescent="0.25">
      <c r="A4" s="14" t="s">
        <v>290</v>
      </c>
      <c r="B4" s="30">
        <v>9.7613999999999983</v>
      </c>
      <c r="C4" s="30">
        <v>6.5454000000000008</v>
      </c>
      <c r="E4" s="14" t="s">
        <v>290</v>
      </c>
      <c r="F4" s="30">
        <v>54127</v>
      </c>
      <c r="I4" s="14" t="s">
        <v>290</v>
      </c>
      <c r="J4" s="30">
        <v>3.1307692307692314E-2</v>
      </c>
      <c r="K4" s="30">
        <v>4.1615384615384617E-2</v>
      </c>
      <c r="M4" s="14" t="s">
        <v>290</v>
      </c>
      <c r="N4" s="30">
        <v>712355</v>
      </c>
    </row>
    <row r="5" spans="1:14" x14ac:dyDescent="0.25">
      <c r="A5" s="22" t="s">
        <v>24</v>
      </c>
      <c r="B5" s="30">
        <v>0.66259999999999997</v>
      </c>
      <c r="C5" s="30">
        <v>0.45</v>
      </c>
      <c r="E5" s="22" t="s">
        <v>24</v>
      </c>
      <c r="F5" s="30">
        <v>4355</v>
      </c>
      <c r="I5" s="22" t="s">
        <v>24</v>
      </c>
      <c r="J5" s="30">
        <v>4.4999999999999998E-2</v>
      </c>
      <c r="K5" s="30">
        <v>5.5E-2</v>
      </c>
      <c r="M5" s="22" t="s">
        <v>24</v>
      </c>
      <c r="N5" s="30">
        <v>12729</v>
      </c>
    </row>
    <row r="6" spans="1:14" x14ac:dyDescent="0.25">
      <c r="A6" s="22" t="s">
        <v>38</v>
      </c>
      <c r="B6" s="30">
        <v>0.77629999999999999</v>
      </c>
      <c r="C6" s="30">
        <v>0.58489999999999998</v>
      </c>
      <c r="E6" s="22" t="s">
        <v>38</v>
      </c>
      <c r="F6" s="30">
        <v>3700</v>
      </c>
      <c r="I6" s="22" t="s">
        <v>38</v>
      </c>
      <c r="J6" s="30">
        <v>2.7E-2</v>
      </c>
      <c r="K6" s="30">
        <v>3.7999999999999999E-2</v>
      </c>
      <c r="M6" s="22" t="s">
        <v>38</v>
      </c>
      <c r="N6" s="30">
        <v>30968</v>
      </c>
    </row>
    <row r="7" spans="1:14" x14ac:dyDescent="0.25">
      <c r="A7" s="22" t="s">
        <v>34</v>
      </c>
      <c r="B7" s="30">
        <v>0.73050000000000004</v>
      </c>
      <c r="C7" s="30">
        <v>0.4798</v>
      </c>
      <c r="E7" s="22" t="s">
        <v>34</v>
      </c>
      <c r="F7" s="30">
        <v>3545</v>
      </c>
      <c r="I7" s="22" t="s">
        <v>34</v>
      </c>
      <c r="J7" s="30">
        <v>4.5999999999999999E-2</v>
      </c>
      <c r="K7" s="30">
        <v>6.0999999999999999E-2</v>
      </c>
      <c r="M7" s="22" t="s">
        <v>34</v>
      </c>
      <c r="N7" s="30">
        <v>128263</v>
      </c>
    </row>
    <row r="8" spans="1:14" x14ac:dyDescent="0.25">
      <c r="A8" s="22" t="s">
        <v>36</v>
      </c>
      <c r="B8" s="30">
        <v>0.78029999999999999</v>
      </c>
      <c r="C8" s="30">
        <v>0.55979999999999996</v>
      </c>
      <c r="E8" s="22" t="s">
        <v>36</v>
      </c>
      <c r="F8" s="30">
        <v>3924</v>
      </c>
      <c r="I8" s="22" t="s">
        <v>36</v>
      </c>
      <c r="J8" s="30">
        <v>0.03</v>
      </c>
      <c r="K8" s="30">
        <v>3.9E-2</v>
      </c>
      <c r="M8" s="22" t="s">
        <v>36</v>
      </c>
      <c r="N8" s="30">
        <v>71040</v>
      </c>
    </row>
    <row r="9" spans="1:14" x14ac:dyDescent="0.25">
      <c r="A9" s="22" t="s">
        <v>40</v>
      </c>
      <c r="B9" s="30">
        <v>0.79330000000000001</v>
      </c>
      <c r="C9" s="30">
        <v>0.44950000000000001</v>
      </c>
      <c r="E9" s="22" t="s">
        <v>40</v>
      </c>
      <c r="F9" s="30">
        <v>4823</v>
      </c>
      <c r="I9" s="22" t="s">
        <v>40</v>
      </c>
      <c r="J9" s="30">
        <v>2.7E-2</v>
      </c>
      <c r="K9" s="30">
        <v>3.3000000000000002E-2</v>
      </c>
      <c r="M9" s="22" t="s">
        <v>40</v>
      </c>
      <c r="N9" s="30">
        <v>27414</v>
      </c>
    </row>
    <row r="10" spans="1:14" x14ac:dyDescent="0.25">
      <c r="A10" s="22" t="s">
        <v>52</v>
      </c>
      <c r="B10" s="30">
        <v>0.76139999999999997</v>
      </c>
      <c r="C10" s="30">
        <v>0.49070000000000003</v>
      </c>
      <c r="E10" s="22" t="s">
        <v>52</v>
      </c>
      <c r="F10" s="30">
        <v>3200</v>
      </c>
      <c r="I10" s="22" t="s">
        <v>52</v>
      </c>
      <c r="J10" s="30">
        <v>4.2000000000000003E-2</v>
      </c>
      <c r="K10" s="30">
        <v>5.8000000000000003E-2</v>
      </c>
      <c r="M10" s="22" t="s">
        <v>52</v>
      </c>
      <c r="N10" s="30">
        <v>98638</v>
      </c>
    </row>
    <row r="11" spans="1:14" x14ac:dyDescent="0.25">
      <c r="A11" s="22" t="s">
        <v>54</v>
      </c>
      <c r="B11" s="30">
        <v>0.74550000000000005</v>
      </c>
      <c r="C11" s="30">
        <v>0.505</v>
      </c>
      <c r="E11" s="22" t="s">
        <v>54</v>
      </c>
      <c r="F11" s="30">
        <v>4527</v>
      </c>
      <c r="I11" s="22" t="s">
        <v>54</v>
      </c>
      <c r="J11" s="30">
        <v>2.7E-2</v>
      </c>
      <c r="K11" s="30">
        <v>3.7999999999999999E-2</v>
      </c>
      <c r="M11" s="22" t="s">
        <v>54</v>
      </c>
      <c r="N11" s="30">
        <v>61357</v>
      </c>
    </row>
    <row r="12" spans="1:14" x14ac:dyDescent="0.25">
      <c r="A12" s="22" t="s">
        <v>58</v>
      </c>
      <c r="B12" s="30">
        <v>0.75590000000000002</v>
      </c>
      <c r="C12" s="30">
        <v>0.52039999999999997</v>
      </c>
      <c r="E12" s="22" t="s">
        <v>58</v>
      </c>
      <c r="F12" s="30">
        <v>5605</v>
      </c>
      <c r="I12" s="22" t="s">
        <v>58</v>
      </c>
      <c r="J12" s="30">
        <v>2.5000000000000001E-2</v>
      </c>
      <c r="K12" s="30">
        <v>4.1000000000000002E-2</v>
      </c>
      <c r="M12" s="22" t="s">
        <v>58</v>
      </c>
      <c r="N12" s="30">
        <v>61031</v>
      </c>
    </row>
    <row r="13" spans="1:14" x14ac:dyDescent="0.25">
      <c r="A13" s="22" t="s">
        <v>76</v>
      </c>
      <c r="B13" s="30">
        <v>0.72760000000000002</v>
      </c>
      <c r="C13" s="30">
        <v>0.43409999999999999</v>
      </c>
      <c r="E13" s="22" t="s">
        <v>76</v>
      </c>
      <c r="F13" s="30">
        <v>4577</v>
      </c>
      <c r="I13" s="22" t="s">
        <v>76</v>
      </c>
      <c r="J13" s="30">
        <v>2.1000000000000001E-2</v>
      </c>
      <c r="K13" s="30">
        <v>3.1E-2</v>
      </c>
      <c r="M13" s="22" t="s">
        <v>76</v>
      </c>
      <c r="N13" s="30">
        <v>8649</v>
      </c>
    </row>
    <row r="14" spans="1:14" x14ac:dyDescent="0.25">
      <c r="A14" s="22" t="s">
        <v>62</v>
      </c>
      <c r="B14" s="30">
        <v>0.71550000000000002</v>
      </c>
      <c r="C14" s="30">
        <v>0.55220000000000002</v>
      </c>
      <c r="E14" s="22" t="s">
        <v>62</v>
      </c>
      <c r="F14" s="30">
        <v>4152</v>
      </c>
      <c r="I14" s="22" t="s">
        <v>62</v>
      </c>
      <c r="J14" s="30">
        <v>2.7E-2</v>
      </c>
      <c r="K14" s="30">
        <v>3.2000000000000001E-2</v>
      </c>
      <c r="M14" s="22" t="s">
        <v>62</v>
      </c>
      <c r="N14" s="30">
        <v>20371</v>
      </c>
    </row>
    <row r="15" spans="1:14" x14ac:dyDescent="0.25">
      <c r="A15" s="22" t="s">
        <v>78</v>
      </c>
      <c r="B15" s="30">
        <v>0.69669999999999999</v>
      </c>
      <c r="C15" s="30">
        <v>0.49299999999999999</v>
      </c>
      <c r="E15" s="22" t="s">
        <v>78</v>
      </c>
      <c r="F15" s="30">
        <v>4009</v>
      </c>
      <c r="I15" s="22" t="s">
        <v>78</v>
      </c>
      <c r="J15" s="30">
        <v>0.04</v>
      </c>
      <c r="K15" s="30">
        <v>5.0999999999999997E-2</v>
      </c>
      <c r="M15" s="22" t="s">
        <v>78</v>
      </c>
      <c r="N15" s="30">
        <v>122521</v>
      </c>
    </row>
    <row r="16" spans="1:14" x14ac:dyDescent="0.25">
      <c r="A16" s="22" t="s">
        <v>90</v>
      </c>
      <c r="B16" s="30">
        <v>0.82210000000000005</v>
      </c>
      <c r="C16" s="30">
        <v>0.4778</v>
      </c>
      <c r="E16" s="22" t="s">
        <v>90</v>
      </c>
      <c r="F16" s="30">
        <v>4415</v>
      </c>
      <c r="I16" s="22" t="s">
        <v>90</v>
      </c>
      <c r="J16" s="30">
        <v>2.1000000000000001E-2</v>
      </c>
      <c r="K16" s="30">
        <v>2.5999999999999999E-2</v>
      </c>
      <c r="M16" s="22" t="s">
        <v>90</v>
      </c>
      <c r="N16" s="30">
        <v>11154</v>
      </c>
    </row>
    <row r="17" spans="1:14" x14ac:dyDescent="0.25">
      <c r="A17" s="22" t="s">
        <v>106</v>
      </c>
      <c r="B17" s="30">
        <v>0.79369999999999996</v>
      </c>
      <c r="C17" s="30">
        <v>0.54820000000000002</v>
      </c>
      <c r="E17" s="22" t="s">
        <v>106</v>
      </c>
      <c r="F17" s="30">
        <v>3295</v>
      </c>
      <c r="I17" s="22" t="s">
        <v>106</v>
      </c>
      <c r="J17" s="30">
        <v>2.9000000000000001E-2</v>
      </c>
      <c r="K17" s="30">
        <v>3.7999999999999999E-2</v>
      </c>
      <c r="M17" s="22" t="s">
        <v>106</v>
      </c>
      <c r="N17" s="30">
        <v>58220</v>
      </c>
    </row>
    <row r="18" spans="1:14" x14ac:dyDescent="0.25">
      <c r="A18" s="14" t="s">
        <v>289</v>
      </c>
      <c r="B18" s="30">
        <v>6.1820000000000004</v>
      </c>
      <c r="C18" s="30">
        <v>5.1559999999999997</v>
      </c>
      <c r="E18" s="14" t="s">
        <v>289</v>
      </c>
      <c r="F18" s="30">
        <v>25196</v>
      </c>
      <c r="I18" s="14" t="s">
        <v>289</v>
      </c>
      <c r="J18" s="30">
        <v>3.5222222222222231E-2</v>
      </c>
      <c r="K18" s="30">
        <v>5.3999999999999999E-2</v>
      </c>
      <c r="M18" s="14" t="s">
        <v>289</v>
      </c>
      <c r="N18" s="30">
        <v>713564</v>
      </c>
    </row>
    <row r="19" spans="1:14" x14ac:dyDescent="0.25">
      <c r="A19" s="22" t="s">
        <v>22</v>
      </c>
      <c r="B19" s="30">
        <v>0.65369999999999995</v>
      </c>
      <c r="C19" s="30">
        <v>0.65029999999999999</v>
      </c>
      <c r="E19" s="22" t="s">
        <v>22</v>
      </c>
      <c r="F19" s="30">
        <v>3312</v>
      </c>
      <c r="I19" s="22" t="s">
        <v>22</v>
      </c>
      <c r="J19" s="30">
        <v>4.2000000000000003E-2</v>
      </c>
      <c r="K19" s="30">
        <v>6.3E-2</v>
      </c>
      <c r="M19" s="22" t="s">
        <v>22</v>
      </c>
      <c r="N19" s="30">
        <v>44425</v>
      </c>
    </row>
    <row r="20" spans="1:14" x14ac:dyDescent="0.25">
      <c r="A20" s="22" t="s">
        <v>50</v>
      </c>
      <c r="B20" s="30">
        <v>0.63829999999999998</v>
      </c>
      <c r="C20" s="30">
        <v>0.59160000000000001</v>
      </c>
      <c r="E20" s="22" t="s">
        <v>50</v>
      </c>
      <c r="F20" s="30">
        <v>2415</v>
      </c>
      <c r="I20" s="22" t="s">
        <v>50</v>
      </c>
      <c r="J20" s="30">
        <v>3.7999999999999999E-2</v>
      </c>
      <c r="K20" s="30">
        <v>5.5E-2</v>
      </c>
      <c r="M20" s="22" t="s">
        <v>50</v>
      </c>
      <c r="N20" s="30">
        <v>91817</v>
      </c>
    </row>
    <row r="21" spans="1:14" x14ac:dyDescent="0.25">
      <c r="A21" s="22" t="s">
        <v>46</v>
      </c>
      <c r="B21" s="30">
        <v>0.68840000000000001</v>
      </c>
      <c r="C21" s="30">
        <v>0.51259999999999994</v>
      </c>
      <c r="E21" s="22" t="s">
        <v>46</v>
      </c>
      <c r="F21" s="30">
        <v>2421</v>
      </c>
      <c r="I21" s="22" t="s">
        <v>46</v>
      </c>
      <c r="J21" s="30">
        <v>0.03</v>
      </c>
      <c r="K21" s="30">
        <v>4.5999999999999999E-2</v>
      </c>
      <c r="M21" s="22" t="s">
        <v>46</v>
      </c>
      <c r="N21" s="30">
        <v>16306</v>
      </c>
    </row>
    <row r="22" spans="1:14" x14ac:dyDescent="0.25">
      <c r="A22" s="22" t="s">
        <v>66</v>
      </c>
      <c r="B22" s="30">
        <v>0.78029999999999999</v>
      </c>
      <c r="C22" s="30">
        <v>0.51380000000000003</v>
      </c>
      <c r="E22" s="22" t="s">
        <v>66</v>
      </c>
      <c r="F22" s="30">
        <v>2344</v>
      </c>
      <c r="I22" s="22" t="s">
        <v>66</v>
      </c>
      <c r="J22" s="30">
        <v>2.5000000000000001E-2</v>
      </c>
      <c r="K22" s="30">
        <v>3.4000000000000002E-2</v>
      </c>
      <c r="M22" s="22" t="s">
        <v>66</v>
      </c>
      <c r="N22" s="30">
        <v>16113</v>
      </c>
    </row>
    <row r="23" spans="1:14" x14ac:dyDescent="0.25">
      <c r="A23" s="22" t="s">
        <v>68</v>
      </c>
      <c r="B23" s="30">
        <v>0.76280000000000003</v>
      </c>
      <c r="C23" s="30">
        <v>0.52139999999999997</v>
      </c>
      <c r="E23" s="22" t="s">
        <v>68</v>
      </c>
      <c r="F23" s="30">
        <v>2512</v>
      </c>
      <c r="I23" s="22" t="s">
        <v>68</v>
      </c>
      <c r="J23" s="30">
        <v>3.6999999999999998E-2</v>
      </c>
      <c r="K23" s="30">
        <v>6.6000000000000003E-2</v>
      </c>
      <c r="M23" s="22" t="s">
        <v>68</v>
      </c>
      <c r="N23" s="30">
        <v>105416</v>
      </c>
    </row>
    <row r="24" spans="1:14" x14ac:dyDescent="0.25">
      <c r="A24" s="22" t="s">
        <v>72</v>
      </c>
      <c r="B24" s="30">
        <v>0.69059999999999999</v>
      </c>
      <c r="C24" s="30">
        <v>0.55249999999999999</v>
      </c>
      <c r="E24" s="22" t="s">
        <v>72</v>
      </c>
      <c r="F24" s="30">
        <v>3185</v>
      </c>
      <c r="I24" s="22" t="s">
        <v>72</v>
      </c>
      <c r="J24" s="30">
        <v>4.2999999999999997E-2</v>
      </c>
      <c r="K24" s="30">
        <v>7.0000000000000007E-2</v>
      </c>
      <c r="M24" s="22" t="s">
        <v>72</v>
      </c>
      <c r="N24" s="30">
        <v>270847</v>
      </c>
    </row>
    <row r="25" spans="1:14" x14ac:dyDescent="0.25">
      <c r="A25" s="22" t="s">
        <v>84</v>
      </c>
      <c r="B25" s="30">
        <v>0.76049999999999995</v>
      </c>
      <c r="C25" s="30">
        <v>0.55069999999999997</v>
      </c>
      <c r="E25" s="22" t="s">
        <v>84</v>
      </c>
      <c r="F25" s="30">
        <v>3678</v>
      </c>
      <c r="I25" s="22" t="s">
        <v>84</v>
      </c>
      <c r="J25" s="30">
        <v>4.3999999999999997E-2</v>
      </c>
      <c r="K25" s="30">
        <v>0.06</v>
      </c>
      <c r="M25" s="22" t="s">
        <v>84</v>
      </c>
      <c r="N25" s="30">
        <v>148327</v>
      </c>
    </row>
    <row r="26" spans="1:14" x14ac:dyDescent="0.25">
      <c r="A26" s="22" t="s">
        <v>86</v>
      </c>
      <c r="B26" s="30">
        <v>0.61750000000000005</v>
      </c>
      <c r="C26" s="30">
        <v>0.68579999999999997</v>
      </c>
      <c r="E26" s="22" t="s">
        <v>86</v>
      </c>
      <c r="F26" s="30">
        <v>2722</v>
      </c>
      <c r="I26" s="22" t="s">
        <v>86</v>
      </c>
      <c r="J26" s="30">
        <v>3.2000000000000001E-2</v>
      </c>
      <c r="K26" s="30">
        <v>5.5E-2</v>
      </c>
      <c r="M26" s="22" t="s">
        <v>86</v>
      </c>
      <c r="N26" s="30">
        <v>12362</v>
      </c>
    </row>
    <row r="27" spans="1:14" x14ac:dyDescent="0.25">
      <c r="A27" s="22" t="s">
        <v>98</v>
      </c>
      <c r="B27" s="30">
        <v>0.58989999999999998</v>
      </c>
      <c r="C27" s="30">
        <v>0.57730000000000004</v>
      </c>
      <c r="E27" s="22" t="s">
        <v>98</v>
      </c>
      <c r="F27" s="30">
        <v>2607</v>
      </c>
      <c r="I27" s="22" t="s">
        <v>98</v>
      </c>
      <c r="J27" s="30">
        <v>2.5999999999999999E-2</v>
      </c>
      <c r="K27" s="30">
        <v>3.6999999999999998E-2</v>
      </c>
      <c r="M27" s="22" t="s">
        <v>98</v>
      </c>
      <c r="N27" s="30">
        <v>7951</v>
      </c>
    </row>
    <row r="28" spans="1:14" x14ac:dyDescent="0.25">
      <c r="A28" s="14" t="s">
        <v>287</v>
      </c>
      <c r="B28" s="30">
        <v>11.034099999999999</v>
      </c>
      <c r="C28" s="30">
        <v>6.8988000000000005</v>
      </c>
      <c r="E28" s="14" t="s">
        <v>287</v>
      </c>
      <c r="F28" s="30">
        <v>70888</v>
      </c>
      <c r="I28" s="14" t="s">
        <v>287</v>
      </c>
      <c r="J28" s="30">
        <v>3.3666666666666664E-2</v>
      </c>
      <c r="K28" s="30">
        <v>4.58E-2</v>
      </c>
      <c r="M28" s="14" t="s">
        <v>287</v>
      </c>
      <c r="N28" s="30">
        <v>1161217</v>
      </c>
    </row>
    <row r="29" spans="1:14" x14ac:dyDescent="0.25">
      <c r="A29" s="22" t="s">
        <v>10</v>
      </c>
      <c r="B29" s="30">
        <v>0.72599999999999998</v>
      </c>
      <c r="C29" s="30">
        <v>0.38419999999999999</v>
      </c>
      <c r="E29" s="22" t="s">
        <v>10</v>
      </c>
      <c r="F29" s="30">
        <v>4727</v>
      </c>
      <c r="I29" s="22" t="s">
        <v>10</v>
      </c>
      <c r="J29" s="30">
        <v>2.5999999999999999E-2</v>
      </c>
      <c r="K29" s="30">
        <v>3.4000000000000002E-2</v>
      </c>
      <c r="M29" s="22" t="s">
        <v>10</v>
      </c>
      <c r="N29" s="30">
        <v>45673</v>
      </c>
    </row>
    <row r="30" spans="1:14" x14ac:dyDescent="0.25">
      <c r="A30" s="22" t="s">
        <v>16</v>
      </c>
      <c r="B30" s="30">
        <v>0.72060000000000002</v>
      </c>
      <c r="C30" s="30">
        <v>0.4153</v>
      </c>
      <c r="E30" s="22" t="s">
        <v>16</v>
      </c>
      <c r="F30" s="30">
        <v>5899</v>
      </c>
      <c r="I30" s="22" t="s">
        <v>16</v>
      </c>
      <c r="J30" s="30">
        <v>3.3000000000000002E-2</v>
      </c>
      <c r="K30" s="30">
        <v>4.1000000000000002E-2</v>
      </c>
      <c r="M30" s="22" t="s">
        <v>16</v>
      </c>
      <c r="N30" s="30">
        <v>28300</v>
      </c>
    </row>
    <row r="31" spans="1:14" x14ac:dyDescent="0.25">
      <c r="A31" s="22" t="s">
        <v>26</v>
      </c>
      <c r="B31" s="30">
        <v>0.69940000000000002</v>
      </c>
      <c r="C31" s="30">
        <v>0.53979999999999995</v>
      </c>
      <c r="E31" s="22" t="s">
        <v>26</v>
      </c>
      <c r="F31" s="30">
        <v>3922</v>
      </c>
      <c r="I31" s="22" t="s">
        <v>26</v>
      </c>
      <c r="J31" s="30">
        <v>2.9000000000000001E-2</v>
      </c>
      <c r="K31" s="30">
        <v>4.5999999999999999E-2</v>
      </c>
      <c r="M31" s="22" t="s">
        <v>26</v>
      </c>
      <c r="N31" s="30">
        <v>214408</v>
      </c>
    </row>
    <row r="32" spans="1:14" x14ac:dyDescent="0.25">
      <c r="A32" s="22" t="s">
        <v>28</v>
      </c>
      <c r="B32" s="30">
        <v>0.70309999999999995</v>
      </c>
      <c r="C32" s="30">
        <v>0.42109999999999997</v>
      </c>
      <c r="E32" s="22" t="s">
        <v>28</v>
      </c>
      <c r="F32" s="30">
        <v>4415</v>
      </c>
      <c r="I32" s="22" t="s">
        <v>28</v>
      </c>
      <c r="J32" s="30">
        <v>0.03</v>
      </c>
      <c r="K32" s="30">
        <v>3.9E-2</v>
      </c>
      <c r="M32" s="22" t="s">
        <v>28</v>
      </c>
      <c r="N32" s="30">
        <v>93803</v>
      </c>
    </row>
    <row r="33" spans="1:14" x14ac:dyDescent="0.25">
      <c r="A33" s="22" t="s">
        <v>42</v>
      </c>
      <c r="B33" s="30">
        <v>0.77939999999999998</v>
      </c>
      <c r="C33" s="30">
        <v>0.45550000000000002</v>
      </c>
      <c r="E33" s="22" t="s">
        <v>42</v>
      </c>
      <c r="F33" s="30">
        <v>3818</v>
      </c>
      <c r="I33" s="22" t="s">
        <v>42</v>
      </c>
      <c r="J33" s="30">
        <v>3.9E-2</v>
      </c>
      <c r="K33" s="30">
        <v>4.3999999999999997E-2</v>
      </c>
      <c r="M33" s="22" t="s">
        <v>42</v>
      </c>
      <c r="N33" s="30">
        <v>45922</v>
      </c>
    </row>
    <row r="34" spans="1:14" x14ac:dyDescent="0.25">
      <c r="A34" s="22" t="s">
        <v>44</v>
      </c>
      <c r="B34" s="30">
        <v>0.7107</v>
      </c>
      <c r="C34" s="30">
        <v>0.44309999999999999</v>
      </c>
      <c r="E34" s="22" t="s">
        <v>44</v>
      </c>
      <c r="F34" s="30">
        <v>6408</v>
      </c>
      <c r="I34" s="22" t="s">
        <v>44</v>
      </c>
      <c r="J34" s="30">
        <v>3.6999999999999998E-2</v>
      </c>
      <c r="K34" s="30">
        <v>5.6000000000000001E-2</v>
      </c>
      <c r="M34" s="22" t="s">
        <v>44</v>
      </c>
      <c r="N34" s="30">
        <v>48845</v>
      </c>
    </row>
    <row r="35" spans="1:14" x14ac:dyDescent="0.25">
      <c r="A35" s="22" t="s">
        <v>48</v>
      </c>
      <c r="B35" s="30">
        <v>0.73839999999999995</v>
      </c>
      <c r="C35" s="30">
        <v>0.48770000000000002</v>
      </c>
      <c r="E35" s="22" t="s">
        <v>48</v>
      </c>
      <c r="F35" s="30">
        <v>3619</v>
      </c>
      <c r="I35" s="22" t="s">
        <v>48</v>
      </c>
      <c r="J35" s="30">
        <v>3.2000000000000001E-2</v>
      </c>
      <c r="K35" s="30">
        <v>5.2999999999999999E-2</v>
      </c>
      <c r="M35" s="22" t="s">
        <v>48</v>
      </c>
      <c r="N35" s="30">
        <v>65641</v>
      </c>
    </row>
    <row r="36" spans="1:14" x14ac:dyDescent="0.25">
      <c r="A36" s="22" t="s">
        <v>56</v>
      </c>
      <c r="B36" s="30">
        <v>0.72760000000000002</v>
      </c>
      <c r="C36" s="30">
        <v>0.43309999999999998</v>
      </c>
      <c r="E36" s="22" t="s">
        <v>56</v>
      </c>
      <c r="F36" s="30">
        <v>4494</v>
      </c>
      <c r="I36" s="22" t="s">
        <v>56</v>
      </c>
      <c r="J36" s="30">
        <v>3.9E-2</v>
      </c>
      <c r="K36" s="30">
        <v>5.5E-2</v>
      </c>
      <c r="M36" s="22" t="s">
        <v>56</v>
      </c>
      <c r="N36" s="30">
        <v>27870</v>
      </c>
    </row>
    <row r="37" spans="1:14" x14ac:dyDescent="0.25">
      <c r="A37" s="22" t="s">
        <v>74</v>
      </c>
      <c r="B37" s="30">
        <v>0.69710000000000005</v>
      </c>
      <c r="C37" s="30">
        <v>0.43859999999999999</v>
      </c>
      <c r="E37" s="22" t="s">
        <v>74</v>
      </c>
      <c r="F37" s="30">
        <v>4872</v>
      </c>
      <c r="I37" s="22" t="s">
        <v>74</v>
      </c>
      <c r="J37" s="30">
        <v>3.6999999999999998E-2</v>
      </c>
      <c r="K37" s="30">
        <v>4.9000000000000002E-2</v>
      </c>
      <c r="M37" s="22" t="s">
        <v>74</v>
      </c>
      <c r="N37" s="30">
        <v>94532</v>
      </c>
    </row>
    <row r="38" spans="1:14" x14ac:dyDescent="0.25">
      <c r="A38" s="22" t="s">
        <v>80</v>
      </c>
      <c r="B38" s="30">
        <v>0.76819999999999999</v>
      </c>
      <c r="C38" s="30">
        <v>0.46139999999999998</v>
      </c>
      <c r="E38" s="22" t="s">
        <v>80</v>
      </c>
      <c r="F38" s="30">
        <v>5870</v>
      </c>
      <c r="I38" s="22" t="s">
        <v>80</v>
      </c>
      <c r="J38" s="30">
        <v>0.03</v>
      </c>
      <c r="K38" s="30">
        <v>0.04</v>
      </c>
      <c r="M38" s="22" t="s">
        <v>80</v>
      </c>
      <c r="N38" s="30">
        <v>37595</v>
      </c>
    </row>
    <row r="39" spans="1:14" x14ac:dyDescent="0.25">
      <c r="A39" s="22" t="s">
        <v>88</v>
      </c>
      <c r="B39" s="30">
        <v>0.74</v>
      </c>
      <c r="C39" s="30">
        <v>0.40150000000000002</v>
      </c>
      <c r="E39" s="22" t="s">
        <v>88</v>
      </c>
      <c r="F39" s="30">
        <v>5973</v>
      </c>
      <c r="I39" s="22" t="s">
        <v>88</v>
      </c>
      <c r="J39" s="30">
        <v>3.2000000000000001E-2</v>
      </c>
      <c r="K39" s="30">
        <v>3.9E-2</v>
      </c>
      <c r="M39" s="22" t="s">
        <v>88</v>
      </c>
      <c r="N39" s="30">
        <v>45742</v>
      </c>
    </row>
    <row r="40" spans="1:14" x14ac:dyDescent="0.25">
      <c r="A40" s="22" t="s">
        <v>92</v>
      </c>
      <c r="B40" s="30">
        <v>0.69830000000000003</v>
      </c>
      <c r="C40" s="30">
        <v>0.55110000000000003</v>
      </c>
      <c r="E40" s="22" t="s">
        <v>92</v>
      </c>
      <c r="F40" s="30">
        <v>5658</v>
      </c>
      <c r="I40" s="22" t="s">
        <v>92</v>
      </c>
      <c r="J40" s="30">
        <v>3.4000000000000002E-2</v>
      </c>
      <c r="K40" s="30">
        <v>4.4999999999999998E-2</v>
      </c>
      <c r="M40" s="22" t="s">
        <v>92</v>
      </c>
      <c r="N40" s="30">
        <v>64295</v>
      </c>
    </row>
    <row r="41" spans="1:14" x14ac:dyDescent="0.25">
      <c r="A41" s="22" t="s">
        <v>94</v>
      </c>
      <c r="B41" s="30">
        <v>0.75549999999999995</v>
      </c>
      <c r="C41" s="30">
        <v>0.45319999999999999</v>
      </c>
      <c r="E41" s="22" t="s">
        <v>94</v>
      </c>
      <c r="F41" s="30">
        <v>4937</v>
      </c>
      <c r="I41" s="22" t="s">
        <v>94</v>
      </c>
      <c r="J41" s="30">
        <v>3.9E-2</v>
      </c>
      <c r="K41" s="30">
        <v>5.6000000000000001E-2</v>
      </c>
      <c r="M41" s="22" t="s">
        <v>94</v>
      </c>
      <c r="N41" s="30">
        <v>246812</v>
      </c>
    </row>
    <row r="42" spans="1:14" x14ac:dyDescent="0.25">
      <c r="A42" s="22" t="s">
        <v>100</v>
      </c>
      <c r="B42" s="30">
        <v>0.73580000000000001</v>
      </c>
      <c r="C42" s="30">
        <v>0.51429999999999998</v>
      </c>
      <c r="E42" s="22" t="s">
        <v>100</v>
      </c>
      <c r="F42" s="30">
        <v>3121</v>
      </c>
      <c r="I42" s="22" t="s">
        <v>100</v>
      </c>
      <c r="J42" s="30">
        <v>2.9000000000000001E-2</v>
      </c>
      <c r="K42" s="30">
        <v>3.9E-2</v>
      </c>
      <c r="M42" s="22" t="s">
        <v>100</v>
      </c>
      <c r="N42" s="30">
        <v>78989</v>
      </c>
    </row>
    <row r="43" spans="1:14" x14ac:dyDescent="0.25">
      <c r="A43" s="22" t="s">
        <v>104</v>
      </c>
      <c r="B43" s="30">
        <v>0.83399999999999996</v>
      </c>
      <c r="C43" s="30">
        <v>0.49890000000000001</v>
      </c>
      <c r="E43" s="22" t="s">
        <v>104</v>
      </c>
      <c r="F43" s="30">
        <v>3155</v>
      </c>
      <c r="I43" s="22" t="s">
        <v>104</v>
      </c>
      <c r="J43" s="30">
        <v>3.9E-2</v>
      </c>
      <c r="K43" s="30">
        <v>5.0999999999999997E-2</v>
      </c>
      <c r="M43" s="22" t="s">
        <v>104</v>
      </c>
      <c r="N43" s="30">
        <v>22790</v>
      </c>
    </row>
    <row r="44" spans="1:14" x14ac:dyDescent="0.25">
      <c r="A44" s="14" t="s">
        <v>288</v>
      </c>
      <c r="B44" s="30">
        <v>10.437399999999998</v>
      </c>
      <c r="C44" s="30">
        <v>5.9252000000000002</v>
      </c>
      <c r="E44" s="14" t="s">
        <v>288</v>
      </c>
      <c r="F44" s="30">
        <v>64154</v>
      </c>
      <c r="I44" s="14" t="s">
        <v>288</v>
      </c>
      <c r="J44" s="30">
        <v>3.707692307692307E-2</v>
      </c>
      <c r="K44" s="30">
        <v>5.2461538461538476E-2</v>
      </c>
      <c r="M44" s="14" t="s">
        <v>288</v>
      </c>
      <c r="N44" s="30">
        <v>760445</v>
      </c>
    </row>
    <row r="45" spans="1:14" x14ac:dyDescent="0.25">
      <c r="A45" s="22" t="s">
        <v>12</v>
      </c>
      <c r="B45" s="30">
        <v>0.76370000000000005</v>
      </c>
      <c r="C45" s="30">
        <v>0.44779999999999998</v>
      </c>
      <c r="E45" s="22" t="s">
        <v>12</v>
      </c>
      <c r="F45" s="30">
        <v>5359</v>
      </c>
      <c r="I45" s="22" t="s">
        <v>12</v>
      </c>
      <c r="J45" s="30">
        <v>4.3999999999999997E-2</v>
      </c>
      <c r="K45" s="30">
        <v>6.4000000000000001E-2</v>
      </c>
      <c r="M45" s="22" t="s">
        <v>12</v>
      </c>
      <c r="N45" s="30">
        <v>9975</v>
      </c>
    </row>
    <row r="46" spans="1:14" x14ac:dyDescent="0.25">
      <c r="A46" s="22" t="s">
        <v>14</v>
      </c>
      <c r="B46" s="30">
        <v>0.82989999999999997</v>
      </c>
      <c r="C46" s="30">
        <v>0.38800000000000001</v>
      </c>
      <c r="E46" s="22" t="s">
        <v>14</v>
      </c>
      <c r="F46" s="30">
        <v>4940</v>
      </c>
      <c r="I46" s="22" t="s">
        <v>14</v>
      </c>
      <c r="J46" s="30">
        <v>3.7999999999999999E-2</v>
      </c>
      <c r="K46" s="30">
        <v>5.0999999999999997E-2</v>
      </c>
      <c r="M46" s="22" t="s">
        <v>14</v>
      </c>
      <c r="N46" s="30">
        <v>64980</v>
      </c>
    </row>
    <row r="47" spans="1:14" x14ac:dyDescent="0.25">
      <c r="A47" s="22" t="s">
        <v>18</v>
      </c>
      <c r="B47" s="30">
        <v>0.66569999999999996</v>
      </c>
      <c r="C47" s="30">
        <v>0.52500000000000002</v>
      </c>
      <c r="E47" s="22" t="s">
        <v>18</v>
      </c>
      <c r="F47" s="30">
        <v>4720</v>
      </c>
      <c r="I47" s="22" t="s">
        <v>18</v>
      </c>
      <c r="J47" s="30">
        <v>4.2000000000000003E-2</v>
      </c>
      <c r="K47" s="30">
        <v>7.2999999999999995E-2</v>
      </c>
      <c r="M47" s="22" t="s">
        <v>18</v>
      </c>
      <c r="N47" s="30">
        <v>405451</v>
      </c>
    </row>
    <row r="48" spans="1:14" x14ac:dyDescent="0.25">
      <c r="A48" s="22" t="s">
        <v>20</v>
      </c>
      <c r="B48" s="30">
        <v>0.80049999999999999</v>
      </c>
      <c r="C48" s="30">
        <v>0.48699999999999999</v>
      </c>
      <c r="E48" s="22" t="s">
        <v>20</v>
      </c>
      <c r="F48" s="30">
        <v>6091</v>
      </c>
      <c r="I48" s="22" t="s">
        <v>20</v>
      </c>
      <c r="J48" s="30">
        <v>0.03</v>
      </c>
      <c r="K48" s="30">
        <v>5.3999999999999999E-2</v>
      </c>
      <c r="M48" s="22" t="s">
        <v>20</v>
      </c>
      <c r="N48" s="30">
        <v>49849</v>
      </c>
    </row>
    <row r="49" spans="1:14" x14ac:dyDescent="0.25">
      <c r="A49" s="22" t="s">
        <v>30</v>
      </c>
      <c r="B49" s="30">
        <v>0.78510000000000002</v>
      </c>
      <c r="C49" s="30">
        <v>0.40939999999999999</v>
      </c>
      <c r="E49" s="22" t="s">
        <v>30</v>
      </c>
      <c r="F49" s="30">
        <v>5077</v>
      </c>
      <c r="I49" s="22" t="s">
        <v>30</v>
      </c>
      <c r="J49" s="30">
        <v>3.5000000000000003E-2</v>
      </c>
      <c r="K49" s="30">
        <v>0.06</v>
      </c>
      <c r="M49" s="22" t="s">
        <v>30</v>
      </c>
      <c r="N49" s="30">
        <v>14480</v>
      </c>
    </row>
    <row r="50" spans="1:14" x14ac:dyDescent="0.25">
      <c r="A50" s="22" t="s">
        <v>32</v>
      </c>
      <c r="B50" s="30">
        <v>0.80269999999999997</v>
      </c>
      <c r="C50" s="30">
        <v>0.50600000000000001</v>
      </c>
      <c r="E50" s="22" t="s">
        <v>32</v>
      </c>
      <c r="F50" s="30">
        <v>2466</v>
      </c>
      <c r="I50" s="22" t="s">
        <v>32</v>
      </c>
      <c r="J50" s="30">
        <v>2.7E-2</v>
      </c>
      <c r="K50" s="30">
        <v>3.5000000000000003E-2</v>
      </c>
      <c r="M50" s="22" t="s">
        <v>32</v>
      </c>
      <c r="N50" s="30">
        <v>14886</v>
      </c>
    </row>
    <row r="51" spans="1:14" x14ac:dyDescent="0.25">
      <c r="A51" s="22" t="s">
        <v>60</v>
      </c>
      <c r="B51" s="30">
        <v>0.83320000000000005</v>
      </c>
      <c r="C51" s="30">
        <v>0.37359999999999999</v>
      </c>
      <c r="E51" s="22" t="s">
        <v>60</v>
      </c>
      <c r="F51" s="30">
        <v>4711</v>
      </c>
      <c r="I51" s="22" t="s">
        <v>60</v>
      </c>
      <c r="J51" s="30">
        <v>2.5999999999999999E-2</v>
      </c>
      <c r="K51" s="30">
        <v>3.4000000000000002E-2</v>
      </c>
      <c r="M51" s="22" t="s">
        <v>60</v>
      </c>
      <c r="N51" s="30">
        <v>11035</v>
      </c>
    </row>
    <row r="52" spans="1:14" x14ac:dyDescent="0.25">
      <c r="A52" s="22" t="s">
        <v>70</v>
      </c>
      <c r="B52" s="30">
        <v>0.69569999999999999</v>
      </c>
      <c r="C52" s="30">
        <v>0.33300000000000002</v>
      </c>
      <c r="E52" s="22" t="s">
        <v>70</v>
      </c>
      <c r="F52" s="30">
        <v>6462</v>
      </c>
      <c r="I52" s="22" t="s">
        <v>70</v>
      </c>
      <c r="J52" s="30">
        <v>0.04</v>
      </c>
      <c r="K52" s="30">
        <v>7.0999999999999994E-2</v>
      </c>
      <c r="M52" s="22" t="s">
        <v>70</v>
      </c>
      <c r="N52" s="30">
        <v>18750</v>
      </c>
    </row>
    <row r="53" spans="1:14" x14ac:dyDescent="0.25">
      <c r="A53" s="22" t="s">
        <v>64</v>
      </c>
      <c r="B53" s="30">
        <v>0.88400000000000001</v>
      </c>
      <c r="C53" s="30">
        <v>0.47820000000000001</v>
      </c>
      <c r="E53" s="22" t="s">
        <v>64</v>
      </c>
      <c r="F53" s="30">
        <v>4314</v>
      </c>
      <c r="I53" s="22" t="s">
        <v>64</v>
      </c>
      <c r="J53" s="30">
        <v>5.7000000000000002E-2</v>
      </c>
      <c r="K53" s="30">
        <v>6.3E-2</v>
      </c>
      <c r="M53" s="22" t="s">
        <v>64</v>
      </c>
      <c r="N53" s="30">
        <v>26200</v>
      </c>
    </row>
    <row r="54" spans="1:14" x14ac:dyDescent="0.25">
      <c r="A54" s="22" t="s">
        <v>82</v>
      </c>
      <c r="B54" s="30">
        <v>0.7913</v>
      </c>
      <c r="C54" s="30">
        <v>0.50149999999999995</v>
      </c>
      <c r="E54" s="22" t="s">
        <v>82</v>
      </c>
      <c r="F54" s="30">
        <v>5610</v>
      </c>
      <c r="I54" s="22" t="s">
        <v>82</v>
      </c>
      <c r="J54" s="30">
        <v>4.2000000000000003E-2</v>
      </c>
      <c r="K54" s="30">
        <v>5.1999999999999998E-2</v>
      </c>
      <c r="M54" s="22" t="s">
        <v>82</v>
      </c>
      <c r="N54" s="30">
        <v>42716</v>
      </c>
    </row>
    <row r="55" spans="1:14" x14ac:dyDescent="0.25">
      <c r="A55" s="22" t="s">
        <v>96</v>
      </c>
      <c r="B55" s="30">
        <v>0.81869999999999998</v>
      </c>
      <c r="C55" s="30">
        <v>0.55000000000000004</v>
      </c>
      <c r="E55" s="22" t="s">
        <v>96</v>
      </c>
      <c r="F55" s="30">
        <v>5190</v>
      </c>
      <c r="I55" s="22" t="s">
        <v>96</v>
      </c>
      <c r="J55" s="30">
        <v>2.3E-2</v>
      </c>
      <c r="K55" s="30">
        <v>2.7E-2</v>
      </c>
      <c r="M55" s="22" t="s">
        <v>96</v>
      </c>
      <c r="N55" s="30">
        <v>24447</v>
      </c>
    </row>
    <row r="56" spans="1:14" x14ac:dyDescent="0.25">
      <c r="A56" s="22" t="s">
        <v>102</v>
      </c>
      <c r="B56" s="30">
        <v>0.79679999999999995</v>
      </c>
      <c r="C56" s="30">
        <v>0.49130000000000001</v>
      </c>
      <c r="E56" s="22" t="s">
        <v>102</v>
      </c>
      <c r="F56" s="30">
        <v>5759</v>
      </c>
      <c r="I56" s="22" t="s">
        <v>102</v>
      </c>
      <c r="J56" s="30">
        <v>4.2000000000000003E-2</v>
      </c>
      <c r="K56" s="30">
        <v>5.1999999999999998E-2</v>
      </c>
      <c r="M56" s="22" t="s">
        <v>102</v>
      </c>
      <c r="N56" s="30">
        <v>71277</v>
      </c>
    </row>
    <row r="57" spans="1:14" x14ac:dyDescent="0.25">
      <c r="A57" s="22" t="s">
        <v>108</v>
      </c>
      <c r="B57" s="30">
        <v>0.97009999999999996</v>
      </c>
      <c r="C57" s="30">
        <v>0.43440000000000001</v>
      </c>
      <c r="E57" s="22" t="s">
        <v>108</v>
      </c>
      <c r="F57" s="30">
        <v>3455</v>
      </c>
      <c r="I57" s="22" t="s">
        <v>108</v>
      </c>
      <c r="J57" s="30">
        <v>3.5999999999999997E-2</v>
      </c>
      <c r="K57" s="30">
        <v>4.5999999999999999E-2</v>
      </c>
      <c r="M57" s="22" t="s">
        <v>108</v>
      </c>
      <c r="N57" s="30">
        <v>6399</v>
      </c>
    </row>
    <row r="58" spans="1:14" x14ac:dyDescent="0.25">
      <c r="A58" s="14" t="s">
        <v>297</v>
      </c>
      <c r="B58" s="30">
        <v>37.414899999999996</v>
      </c>
      <c r="C58" s="30">
        <v>24.525399999999998</v>
      </c>
      <c r="E58" s="14" t="s">
        <v>297</v>
      </c>
      <c r="F58" s="30">
        <v>214365</v>
      </c>
      <c r="I58" s="14" t="s">
        <v>297</v>
      </c>
      <c r="J58" s="30">
        <v>3.4220000000000007E-2</v>
      </c>
      <c r="K58" s="30">
        <v>4.7920000000000004E-2</v>
      </c>
      <c r="M58" s="14" t="s">
        <v>297</v>
      </c>
      <c r="N58" s="30">
        <v>3347581</v>
      </c>
    </row>
    <row r="61" spans="1:14" ht="21" x14ac:dyDescent="0.35">
      <c r="A61" s="48" t="s">
        <v>341</v>
      </c>
    </row>
    <row r="62" spans="1:14" x14ac:dyDescent="0.25">
      <c r="A62" s="17" t="s">
        <v>291</v>
      </c>
      <c r="B62" t="s">
        <v>339</v>
      </c>
      <c r="C62" t="s">
        <v>338</v>
      </c>
    </row>
    <row r="63" spans="1:14" x14ac:dyDescent="0.25">
      <c r="A63" s="14" t="s">
        <v>290</v>
      </c>
      <c r="B63" s="30">
        <v>805.80000000000007</v>
      </c>
      <c r="C63" s="30">
        <v>527.30000000000007</v>
      </c>
    </row>
    <row r="64" spans="1:14" x14ac:dyDescent="0.25">
      <c r="A64" s="22" t="s">
        <v>24</v>
      </c>
      <c r="B64" s="30">
        <v>66.099999999999994</v>
      </c>
      <c r="C64" s="30">
        <v>46.3</v>
      </c>
    </row>
    <row r="65" spans="1:3" x14ac:dyDescent="0.25">
      <c r="A65" s="22" t="s">
        <v>38</v>
      </c>
      <c r="B65" s="30">
        <v>62.5</v>
      </c>
      <c r="C65" s="30">
        <v>42.2</v>
      </c>
    </row>
    <row r="66" spans="1:3" x14ac:dyDescent="0.25">
      <c r="A66" s="22" t="s">
        <v>34</v>
      </c>
      <c r="B66" s="30">
        <v>55.7</v>
      </c>
      <c r="C66" s="30">
        <v>32.1</v>
      </c>
    </row>
    <row r="67" spans="1:3" x14ac:dyDescent="0.25">
      <c r="A67" s="22" t="s">
        <v>36</v>
      </c>
      <c r="B67" s="30">
        <v>62.7</v>
      </c>
      <c r="C67" s="30">
        <v>42.6</v>
      </c>
    </row>
    <row r="68" spans="1:3" x14ac:dyDescent="0.25">
      <c r="A68" s="22" t="s">
        <v>40</v>
      </c>
      <c r="B68" s="30">
        <v>67.5</v>
      </c>
      <c r="C68" s="30">
        <v>42.6</v>
      </c>
    </row>
    <row r="69" spans="1:3" x14ac:dyDescent="0.25">
      <c r="A69" s="22" t="s">
        <v>52</v>
      </c>
      <c r="B69" s="30">
        <v>55</v>
      </c>
      <c r="C69" s="30">
        <v>35.299999999999997</v>
      </c>
    </row>
    <row r="70" spans="1:3" x14ac:dyDescent="0.25">
      <c r="A70" s="22" t="s">
        <v>54</v>
      </c>
      <c r="B70" s="30">
        <v>51.9</v>
      </c>
      <c r="C70" s="30">
        <v>31.4</v>
      </c>
    </row>
    <row r="71" spans="1:3" x14ac:dyDescent="0.25">
      <c r="A71" s="22" t="s">
        <v>58</v>
      </c>
      <c r="B71" s="30">
        <v>75.3</v>
      </c>
      <c r="C71" s="30">
        <v>53</v>
      </c>
    </row>
    <row r="72" spans="1:3" x14ac:dyDescent="0.25">
      <c r="A72" s="22" t="s">
        <v>76</v>
      </c>
      <c r="B72" s="30">
        <v>55.9</v>
      </c>
      <c r="C72" s="30">
        <v>36.1</v>
      </c>
    </row>
    <row r="73" spans="1:3" x14ac:dyDescent="0.25">
      <c r="A73" s="22" t="s">
        <v>62</v>
      </c>
      <c r="B73" s="30">
        <v>70.5</v>
      </c>
      <c r="C73" s="30">
        <v>48.6</v>
      </c>
    </row>
    <row r="74" spans="1:3" x14ac:dyDescent="0.25">
      <c r="A74" s="22" t="s">
        <v>78</v>
      </c>
      <c r="B74" s="30">
        <v>61.7</v>
      </c>
      <c r="C74" s="30">
        <v>41.6</v>
      </c>
    </row>
    <row r="75" spans="1:3" x14ac:dyDescent="0.25">
      <c r="A75" s="22" t="s">
        <v>90</v>
      </c>
      <c r="B75" s="30">
        <v>57.5</v>
      </c>
      <c r="C75" s="30">
        <v>33.799999999999997</v>
      </c>
    </row>
    <row r="76" spans="1:3" x14ac:dyDescent="0.25">
      <c r="A76" s="22" t="s">
        <v>106</v>
      </c>
      <c r="B76" s="30">
        <v>63.5</v>
      </c>
      <c r="C76" s="30">
        <v>41.7</v>
      </c>
    </row>
    <row r="77" spans="1:3" x14ac:dyDescent="0.25">
      <c r="A77" s="14" t="s">
        <v>289</v>
      </c>
      <c r="B77" s="30">
        <v>543.4</v>
      </c>
      <c r="C77" s="30">
        <v>345.40000000000003</v>
      </c>
    </row>
    <row r="78" spans="1:3" x14ac:dyDescent="0.25">
      <c r="A78" s="22" t="s">
        <v>22</v>
      </c>
      <c r="B78" s="30">
        <v>60</v>
      </c>
      <c r="C78" s="30">
        <v>39.799999999999997</v>
      </c>
    </row>
    <row r="79" spans="1:3" x14ac:dyDescent="0.25">
      <c r="A79" s="22" t="s">
        <v>50</v>
      </c>
      <c r="B79" s="30">
        <v>51.9</v>
      </c>
      <c r="C79" s="30">
        <v>31.7</v>
      </c>
    </row>
    <row r="80" spans="1:3" x14ac:dyDescent="0.25">
      <c r="A80" s="22" t="s">
        <v>46</v>
      </c>
      <c r="B80" s="30">
        <v>58.8</v>
      </c>
      <c r="C80" s="30">
        <v>38.700000000000003</v>
      </c>
    </row>
    <row r="81" spans="1:3" x14ac:dyDescent="0.25">
      <c r="A81" s="22" t="s">
        <v>66</v>
      </c>
      <c r="B81" s="30">
        <v>61.9</v>
      </c>
      <c r="C81" s="30">
        <v>36.9</v>
      </c>
    </row>
    <row r="82" spans="1:3" x14ac:dyDescent="0.25">
      <c r="A82" s="22" t="s">
        <v>68</v>
      </c>
      <c r="B82" s="30">
        <v>54.7</v>
      </c>
      <c r="C82" s="30">
        <v>33.299999999999997</v>
      </c>
    </row>
    <row r="83" spans="1:3" x14ac:dyDescent="0.25">
      <c r="A83" s="22" t="s">
        <v>72</v>
      </c>
      <c r="B83" s="30">
        <v>69.5</v>
      </c>
      <c r="C83" s="30">
        <v>39.4</v>
      </c>
    </row>
    <row r="84" spans="1:3" x14ac:dyDescent="0.25">
      <c r="A84" s="22" t="s">
        <v>84</v>
      </c>
      <c r="B84" s="30">
        <v>59.7</v>
      </c>
      <c r="C84" s="30">
        <v>39.200000000000003</v>
      </c>
    </row>
    <row r="85" spans="1:3" x14ac:dyDescent="0.25">
      <c r="A85" s="22" t="s">
        <v>86</v>
      </c>
      <c r="B85" s="30">
        <v>60</v>
      </c>
      <c r="C85" s="30">
        <v>41.3</v>
      </c>
    </row>
    <row r="86" spans="1:3" x14ac:dyDescent="0.25">
      <c r="A86" s="22" t="s">
        <v>98</v>
      </c>
      <c r="B86" s="30">
        <v>66.900000000000006</v>
      </c>
      <c r="C86" s="30">
        <v>45.1</v>
      </c>
    </row>
    <row r="87" spans="1:3" x14ac:dyDescent="0.25">
      <c r="A87" s="14" t="s">
        <v>287</v>
      </c>
      <c r="B87" s="30">
        <v>1010.9</v>
      </c>
      <c r="C87" s="30">
        <v>677.90000000000009</v>
      </c>
    </row>
    <row r="88" spans="1:3" x14ac:dyDescent="0.25">
      <c r="A88" s="22" t="s">
        <v>10</v>
      </c>
      <c r="B88" s="30">
        <v>35.5</v>
      </c>
      <c r="C88" s="30">
        <v>20.399999999999999</v>
      </c>
    </row>
    <row r="89" spans="1:3" x14ac:dyDescent="0.25">
      <c r="A89" s="22" t="s">
        <v>16</v>
      </c>
      <c r="B89" s="30">
        <v>75.3</v>
      </c>
      <c r="C89" s="30">
        <v>46.8</v>
      </c>
    </row>
    <row r="90" spans="1:3" x14ac:dyDescent="0.25">
      <c r="A90" s="22" t="s">
        <v>26</v>
      </c>
      <c r="B90" s="30">
        <v>81.900000000000006</v>
      </c>
      <c r="C90" s="30">
        <v>60.9</v>
      </c>
    </row>
    <row r="91" spans="1:3" x14ac:dyDescent="0.25">
      <c r="A91" s="22" t="s">
        <v>28</v>
      </c>
      <c r="B91" s="30">
        <v>75.599999999999994</v>
      </c>
      <c r="C91" s="30">
        <v>52.7</v>
      </c>
    </row>
    <row r="92" spans="1:3" x14ac:dyDescent="0.25">
      <c r="A92" s="22" t="s">
        <v>42</v>
      </c>
      <c r="B92" s="30">
        <v>67.2</v>
      </c>
      <c r="C92" s="30">
        <v>45.4</v>
      </c>
    </row>
    <row r="93" spans="1:3" x14ac:dyDescent="0.25">
      <c r="A93" s="22" t="s">
        <v>44</v>
      </c>
      <c r="B93" s="30">
        <v>77.5</v>
      </c>
      <c r="C93" s="30">
        <v>56.7</v>
      </c>
    </row>
    <row r="94" spans="1:3" x14ac:dyDescent="0.25">
      <c r="A94" s="22" t="s">
        <v>48</v>
      </c>
      <c r="B94" s="30">
        <v>65.400000000000006</v>
      </c>
      <c r="C94" s="30">
        <v>45.4</v>
      </c>
    </row>
    <row r="95" spans="1:3" x14ac:dyDescent="0.25">
      <c r="A95" s="22" t="s">
        <v>56</v>
      </c>
      <c r="B95" s="30">
        <v>66</v>
      </c>
      <c r="C95" s="30">
        <v>44.5</v>
      </c>
    </row>
    <row r="96" spans="1:3" x14ac:dyDescent="0.25">
      <c r="A96" s="22" t="s">
        <v>74</v>
      </c>
      <c r="B96" s="30">
        <v>64.599999999999994</v>
      </c>
      <c r="C96" s="30">
        <v>37.4</v>
      </c>
    </row>
    <row r="97" spans="1:3" x14ac:dyDescent="0.25">
      <c r="A97" s="22" t="s">
        <v>80</v>
      </c>
      <c r="B97" s="30">
        <v>72.3</v>
      </c>
      <c r="C97" s="30">
        <v>48.3</v>
      </c>
    </row>
    <row r="98" spans="1:3" x14ac:dyDescent="0.25">
      <c r="A98" s="22" t="s">
        <v>88</v>
      </c>
      <c r="B98" s="30">
        <v>74.7</v>
      </c>
      <c r="C98" s="30">
        <v>52</v>
      </c>
    </row>
    <row r="99" spans="1:3" x14ac:dyDescent="0.25">
      <c r="A99" s="22" t="s">
        <v>92</v>
      </c>
      <c r="B99" s="30">
        <v>69.400000000000006</v>
      </c>
      <c r="C99" s="30">
        <v>47.5</v>
      </c>
    </row>
    <row r="100" spans="1:3" x14ac:dyDescent="0.25">
      <c r="A100" s="22" t="s">
        <v>94</v>
      </c>
      <c r="B100" s="30">
        <v>78.099999999999994</v>
      </c>
      <c r="C100" s="30">
        <v>53.5</v>
      </c>
    </row>
    <row r="101" spans="1:3" x14ac:dyDescent="0.25">
      <c r="A101" s="22" t="s">
        <v>100</v>
      </c>
      <c r="B101" s="30">
        <v>53.4</v>
      </c>
      <c r="C101" s="30">
        <v>32.700000000000003</v>
      </c>
    </row>
    <row r="102" spans="1:3" x14ac:dyDescent="0.25">
      <c r="A102" s="22" t="s">
        <v>104</v>
      </c>
      <c r="B102" s="30">
        <v>54</v>
      </c>
      <c r="C102" s="30">
        <v>33.700000000000003</v>
      </c>
    </row>
    <row r="103" spans="1:3" x14ac:dyDescent="0.25">
      <c r="A103" s="14" t="s">
        <v>288</v>
      </c>
      <c r="B103" s="30">
        <v>821.30000000000007</v>
      </c>
      <c r="C103" s="30">
        <v>529.5</v>
      </c>
    </row>
    <row r="104" spans="1:3" x14ac:dyDescent="0.25">
      <c r="A104" s="22" t="s">
        <v>12</v>
      </c>
      <c r="B104" s="30">
        <v>75</v>
      </c>
      <c r="C104" s="30">
        <v>52.2</v>
      </c>
    </row>
    <row r="105" spans="1:3" x14ac:dyDescent="0.25">
      <c r="A105" s="22" t="s">
        <v>14</v>
      </c>
      <c r="B105" s="30">
        <v>71.8</v>
      </c>
      <c r="C105" s="30">
        <v>50.2</v>
      </c>
    </row>
    <row r="106" spans="1:3" x14ac:dyDescent="0.25">
      <c r="A106" s="22" t="s">
        <v>18</v>
      </c>
      <c r="B106" s="30">
        <v>71.5</v>
      </c>
      <c r="C106" s="30">
        <v>46.5</v>
      </c>
    </row>
    <row r="107" spans="1:3" x14ac:dyDescent="0.25">
      <c r="A107" s="22" t="s">
        <v>20</v>
      </c>
      <c r="B107" s="30">
        <v>60</v>
      </c>
      <c r="C107" s="30">
        <v>32.4</v>
      </c>
    </row>
    <row r="108" spans="1:3" x14ac:dyDescent="0.25">
      <c r="A108" s="22" t="s">
        <v>30</v>
      </c>
      <c r="B108" s="30">
        <v>80.400000000000006</v>
      </c>
      <c r="C108" s="30">
        <v>66.599999999999994</v>
      </c>
    </row>
    <row r="109" spans="1:3" x14ac:dyDescent="0.25">
      <c r="A109" s="22" t="s">
        <v>32</v>
      </c>
      <c r="B109" s="30">
        <v>58.5</v>
      </c>
      <c r="C109" s="30">
        <v>38.1</v>
      </c>
    </row>
    <row r="110" spans="1:3" x14ac:dyDescent="0.25">
      <c r="A110" s="22" t="s">
        <v>60</v>
      </c>
      <c r="B110" s="30">
        <v>54.7</v>
      </c>
      <c r="C110" s="30">
        <v>30.4</v>
      </c>
    </row>
    <row r="111" spans="1:3" x14ac:dyDescent="0.25">
      <c r="A111" s="22" t="s">
        <v>70</v>
      </c>
      <c r="B111" s="30">
        <v>63.6</v>
      </c>
      <c r="C111" s="30">
        <v>43.6</v>
      </c>
    </row>
    <row r="112" spans="1:3" x14ac:dyDescent="0.25">
      <c r="A112" s="22" t="s">
        <v>64</v>
      </c>
      <c r="B112" s="30">
        <v>52.2</v>
      </c>
      <c r="C112" s="30">
        <v>29.8</v>
      </c>
    </row>
    <row r="113" spans="1:3" x14ac:dyDescent="0.25">
      <c r="A113" s="22" t="s">
        <v>82</v>
      </c>
      <c r="B113" s="30">
        <v>59.4</v>
      </c>
      <c r="C113" s="30">
        <v>36.4</v>
      </c>
    </row>
    <row r="114" spans="1:3" x14ac:dyDescent="0.25">
      <c r="A114" s="22" t="s">
        <v>96</v>
      </c>
      <c r="B114" s="30">
        <v>62</v>
      </c>
      <c r="C114" s="30">
        <v>36.4</v>
      </c>
    </row>
    <row r="115" spans="1:3" x14ac:dyDescent="0.25">
      <c r="A115" s="22" t="s">
        <v>102</v>
      </c>
      <c r="B115" s="30">
        <v>57</v>
      </c>
      <c r="C115" s="30">
        <v>37.6</v>
      </c>
    </row>
    <row r="116" spans="1:3" x14ac:dyDescent="0.25">
      <c r="A116" s="22" t="s">
        <v>108</v>
      </c>
      <c r="B116" s="30">
        <v>55.2</v>
      </c>
      <c r="C116" s="30">
        <v>29.3</v>
      </c>
    </row>
    <row r="117" spans="1:3" x14ac:dyDescent="0.25">
      <c r="A117" s="14" t="s">
        <v>297</v>
      </c>
      <c r="B117" s="30">
        <v>3181.4</v>
      </c>
      <c r="C117" s="30">
        <v>2080.1000000000008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104F0-BB32-4B49-A299-243CB98951A8}">
  <sheetPr codeName="Sheet10"/>
  <dimension ref="AJ12:AJ23"/>
  <sheetViews>
    <sheetView showGridLines="0" showRowColHeaders="0" zoomScale="40" zoomScaleNormal="40" workbookViewId="0">
      <selection activeCell="BM63" sqref="BM63"/>
    </sheetView>
  </sheetViews>
  <sheetFormatPr defaultColWidth="9.140625" defaultRowHeight="15" x14ac:dyDescent="0.25"/>
  <cols>
    <col min="1" max="16384" width="9.140625" style="37"/>
  </cols>
  <sheetData>
    <row r="12" s="37" customFormat="1" x14ac:dyDescent="0.25"/>
    <row r="23" spans="36:36" x14ac:dyDescent="0.25">
      <c r="AJ23" s="37" t="s">
        <v>298</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5E935-2925-41E4-8705-696949A15F40}">
  <sheetPr codeName="Sheet11"/>
  <dimension ref="A4:C20"/>
  <sheetViews>
    <sheetView showGridLines="0" workbookViewId="0">
      <selection activeCell="H19" sqref="H19"/>
    </sheetView>
  </sheetViews>
  <sheetFormatPr defaultColWidth="8.85546875" defaultRowHeight="15" x14ac:dyDescent="0.25"/>
  <cols>
    <col min="1" max="1" width="16.7109375" bestFit="1" customWidth="1"/>
    <col min="2" max="2" width="31.28515625" bestFit="1" customWidth="1"/>
    <col min="3" max="3" width="18" bestFit="1" customWidth="1"/>
  </cols>
  <sheetData>
    <row r="4" spans="1:3" ht="28.5" x14ac:dyDescent="0.45">
      <c r="A4" s="45" t="s">
        <v>299</v>
      </c>
      <c r="B4" s="46" t="s">
        <v>300</v>
      </c>
    </row>
    <row r="5" spans="1:3" ht="28.5" x14ac:dyDescent="0.45">
      <c r="A5" s="45" t="s">
        <v>301</v>
      </c>
      <c r="B5" s="47" t="s">
        <v>304</v>
      </c>
    </row>
    <row r="12" spans="1:3" ht="21" x14ac:dyDescent="0.35">
      <c r="A12" s="44" t="s">
        <v>302</v>
      </c>
      <c r="B12" s="28" t="s">
        <v>7</v>
      </c>
      <c r="C12" s="28" t="s">
        <v>112</v>
      </c>
    </row>
    <row r="13" spans="1:3" ht="21" x14ac:dyDescent="0.35">
      <c r="A13" s="44">
        <v>1</v>
      </c>
      <c r="B13" s="26" t="s">
        <v>109</v>
      </c>
      <c r="C13" s="31">
        <v>0.97009999999999996</v>
      </c>
    </row>
    <row r="14" spans="1:3" ht="21" x14ac:dyDescent="0.35">
      <c r="A14" s="44">
        <v>2</v>
      </c>
      <c r="B14" s="27" t="s">
        <v>65</v>
      </c>
      <c r="C14" s="32">
        <v>0.88400000000000001</v>
      </c>
    </row>
    <row r="15" spans="1:3" ht="21" x14ac:dyDescent="0.35">
      <c r="A15" s="44">
        <v>3</v>
      </c>
      <c r="B15" s="26" t="s">
        <v>105</v>
      </c>
      <c r="C15" s="31">
        <v>0.83399999999999996</v>
      </c>
    </row>
    <row r="16" spans="1:3" ht="21" x14ac:dyDescent="0.35">
      <c r="A16" s="44">
        <v>4</v>
      </c>
      <c r="B16" s="27" t="s">
        <v>61</v>
      </c>
      <c r="C16" s="32">
        <v>0.83320000000000005</v>
      </c>
    </row>
    <row r="17" spans="1:3" ht="21" x14ac:dyDescent="0.35">
      <c r="A17" s="44">
        <v>5</v>
      </c>
      <c r="B17" s="26" t="s">
        <v>15</v>
      </c>
      <c r="C17" s="31">
        <v>0.82989999999999997</v>
      </c>
    </row>
    <row r="18" spans="1:3" ht="21" x14ac:dyDescent="0.35">
      <c r="A18" s="44">
        <v>6</v>
      </c>
      <c r="B18" s="27" t="s">
        <v>91</v>
      </c>
      <c r="C18" s="32">
        <v>0.82210000000000005</v>
      </c>
    </row>
    <row r="19" spans="1:3" ht="21" x14ac:dyDescent="0.35">
      <c r="A19" s="44">
        <v>7</v>
      </c>
      <c r="B19" s="29" t="s">
        <v>97</v>
      </c>
      <c r="C19" s="33">
        <v>0.81869999999999998</v>
      </c>
    </row>
    <row r="20" spans="1:3" ht="21" x14ac:dyDescent="0.35">
      <c r="A20" s="44"/>
      <c r="B20" s="44"/>
      <c r="C20" s="44"/>
    </row>
  </sheetData>
  <dataValidations count="2">
    <dataValidation type="list" showInputMessage="1" showErrorMessage="1" sqref="B4" xr:uid="{67314B9A-6C6D-42DD-B06F-38CC71EDA0C3}">
      <formula1>Category</formula1>
    </dataValidation>
    <dataValidation type="list" allowBlank="1" showInputMessage="1" showErrorMessage="1" sqref="B5" xr:uid="{1B2E234B-C1C0-4215-9820-4A88680CE1FA}">
      <formula1>INDIRECT($B$4)</formula1>
    </dataValidation>
  </dataValidations>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37617A-A702-574C-8322-EB48F65A61EA}">
  <sheetPr codeName="Sheet13"/>
  <dimension ref="A1:C10"/>
  <sheetViews>
    <sheetView zoomScale="140" zoomScaleNormal="140" workbookViewId="0">
      <selection activeCell="B15" sqref="B15"/>
    </sheetView>
  </sheetViews>
  <sheetFormatPr defaultColWidth="11.42578125" defaultRowHeight="15" x14ac:dyDescent="0.25"/>
  <cols>
    <col min="1" max="1" width="23.140625" bestFit="1" customWidth="1"/>
    <col min="2" max="2" width="81.7109375" bestFit="1" customWidth="1"/>
    <col min="3" max="3" width="18.28515625" bestFit="1" customWidth="1"/>
  </cols>
  <sheetData>
    <row r="1" spans="1:3" ht="15.75" x14ac:dyDescent="0.25">
      <c r="A1" s="2" t="s">
        <v>309</v>
      </c>
      <c r="B1" s="2" t="s">
        <v>310</v>
      </c>
      <c r="C1" s="2" t="s">
        <v>311</v>
      </c>
    </row>
    <row r="2" spans="1:3" ht="15.75" x14ac:dyDescent="0.25">
      <c r="A2" s="3" t="s">
        <v>312</v>
      </c>
      <c r="B2" s="3" t="s">
        <v>313</v>
      </c>
      <c r="C2" s="2" t="s">
        <v>314</v>
      </c>
    </row>
    <row r="3" spans="1:3" ht="15.75" x14ac:dyDescent="0.25">
      <c r="A3" s="2" t="s">
        <v>315</v>
      </c>
      <c r="B3" s="3" t="s">
        <v>316</v>
      </c>
      <c r="C3" s="2" t="s">
        <v>305</v>
      </c>
    </row>
    <row r="4" spans="1:3" ht="15.75" x14ac:dyDescent="0.25">
      <c r="A4" s="3" t="s">
        <v>317</v>
      </c>
      <c r="B4" s="3" t="s">
        <v>318</v>
      </c>
      <c r="C4" s="2" t="s">
        <v>319</v>
      </c>
    </row>
    <row r="5" spans="1:3" ht="15.75" x14ac:dyDescent="0.25">
      <c r="A5" s="3" t="s">
        <v>317</v>
      </c>
      <c r="B5" s="3" t="s">
        <v>320</v>
      </c>
      <c r="C5" s="2" t="s">
        <v>321</v>
      </c>
    </row>
    <row r="6" spans="1:3" ht="15.75" x14ac:dyDescent="0.25">
      <c r="A6" s="3" t="s">
        <v>322</v>
      </c>
      <c r="B6" s="3" t="s">
        <v>323</v>
      </c>
      <c r="C6" s="2" t="s">
        <v>324</v>
      </c>
    </row>
    <row r="7" spans="1:3" ht="15.75" x14ac:dyDescent="0.25">
      <c r="A7" s="8"/>
    </row>
    <row r="8" spans="1:3" x14ac:dyDescent="0.25">
      <c r="A8" s="1"/>
    </row>
    <row r="9" spans="1:3" ht="15.75" x14ac:dyDescent="0.25">
      <c r="A9" s="8"/>
    </row>
    <row r="10" spans="1:3" x14ac:dyDescent="0.25">
      <c r="A10" s="1"/>
    </row>
  </sheetData>
  <hyperlinks>
    <hyperlink ref="B2" r:id="rId1" display="https://www.univstats.com/states/" xr:uid="{5B5203BD-B3B5-5948-A0DF-E7784AE67FF4}"/>
    <hyperlink ref="B3" r:id="rId2" display="https://www.kff.org/other/state-indicator/health-care-expenditures-by-state-of-residence-in-millions/?currentTimeframe=0&amp;sortModel=%7B%22colId%22:%22Location%22,%22sort%22:%22asc%22%7D" xr:uid="{0C9A2722-F56B-F04F-B526-E42E19D22E11}"/>
    <hyperlink ref="B4" r:id="rId3" display="https://worldpopulationreview.com/state-rankings/crime-rate-by-state" xr:uid="{F6E152C0-84B1-A846-BCF3-8CFB56977836}"/>
    <hyperlink ref="B5" r:id="rId4" xr:uid="{C9741969-0E64-D94A-AA93-80231F0AAF2A}"/>
    <hyperlink ref="B6" r:id="rId5" display="https://www.ers.usda.gov/data-products/county-level-data-sets/county-level-data-sets-download-data/" xr:uid="{92AF0533-F172-9946-84C2-8DA6DDCBE0F9}"/>
  </hyperlinks>
  <pageMargins left="0.7" right="0.7" top="0.75" bottom="0.75" header="0.3" footer="0.3"/>
  <tableParts count="1">
    <tablePart r:id="rId6"/>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A0A0B-0E82-4E29-850A-59FDD0E6C55D}">
  <sheetPr codeName="Sheet14"/>
  <dimension ref="A1:R55"/>
  <sheetViews>
    <sheetView workbookViewId="0">
      <selection activeCell="E28" sqref="E28"/>
    </sheetView>
  </sheetViews>
  <sheetFormatPr defaultRowHeight="15" x14ac:dyDescent="0.25"/>
  <cols>
    <col min="1" max="1" width="17.140625" bestFit="1" customWidth="1"/>
    <col min="2" max="2" width="26.28515625" customWidth="1"/>
    <col min="4" max="4" width="18.28515625" bestFit="1" customWidth="1"/>
    <col min="5" max="5" width="24.28515625" customWidth="1"/>
    <col min="15" max="15" width="15.28515625" bestFit="1" customWidth="1"/>
    <col min="16" max="16" width="22.140625" bestFit="1" customWidth="1"/>
    <col min="17" max="17" width="8.7109375" bestFit="1" customWidth="1"/>
    <col min="18" max="18" width="15.85546875" bestFit="1" customWidth="1"/>
  </cols>
  <sheetData>
    <row r="1" spans="1:18" x14ac:dyDescent="0.25">
      <c r="A1" s="23" t="s">
        <v>325</v>
      </c>
      <c r="B1" s="23"/>
      <c r="C1" s="23"/>
      <c r="D1" s="23" t="s">
        <v>333</v>
      </c>
      <c r="E1" s="23"/>
      <c r="F1" s="23"/>
      <c r="G1" s="23"/>
      <c r="H1" s="23"/>
      <c r="I1" s="23"/>
      <c r="J1" s="23"/>
      <c r="K1" s="23"/>
      <c r="L1" s="23"/>
      <c r="M1" s="23"/>
      <c r="N1" s="23"/>
      <c r="O1" s="23" t="s">
        <v>7</v>
      </c>
      <c r="P1" s="23" t="s">
        <v>326</v>
      </c>
      <c r="Q1" s="23" t="s">
        <v>327</v>
      </c>
      <c r="R1" s="23" t="s">
        <v>112</v>
      </c>
    </row>
    <row r="2" spans="1:18" x14ac:dyDescent="0.25">
      <c r="A2" s="28" t="s">
        <v>7</v>
      </c>
      <c r="B2" s="28" t="s">
        <v>328</v>
      </c>
      <c r="C2" s="23"/>
      <c r="D2" s="28" t="s">
        <v>7</v>
      </c>
      <c r="E2" s="28" t="s">
        <v>326</v>
      </c>
      <c r="F2" s="23"/>
      <c r="G2" s="23"/>
      <c r="H2" s="23"/>
      <c r="I2" s="23"/>
      <c r="J2" s="23"/>
      <c r="K2" s="23"/>
      <c r="L2" s="23"/>
      <c r="M2" s="23"/>
      <c r="N2" s="23"/>
      <c r="O2" s="23" t="s">
        <v>13</v>
      </c>
      <c r="P2" s="23">
        <v>10</v>
      </c>
      <c r="Q2" s="24">
        <v>17119</v>
      </c>
      <c r="R2" s="25">
        <v>0.76370000000000005</v>
      </c>
    </row>
    <row r="3" spans="1:18" x14ac:dyDescent="0.25">
      <c r="A3" s="28" t="s">
        <v>7</v>
      </c>
      <c r="B3" s="28" t="s">
        <v>328</v>
      </c>
      <c r="C3" s="23"/>
      <c r="D3" s="28" t="s">
        <v>7</v>
      </c>
      <c r="E3" s="28" t="s">
        <v>326</v>
      </c>
      <c r="F3" s="23"/>
      <c r="G3" s="23"/>
      <c r="H3" s="23"/>
      <c r="I3" s="23"/>
      <c r="J3" s="23"/>
      <c r="K3" s="23"/>
      <c r="L3" s="23"/>
      <c r="M3" s="23"/>
      <c r="N3" s="23"/>
      <c r="O3" s="23" t="s">
        <v>11</v>
      </c>
      <c r="P3" s="23">
        <v>76</v>
      </c>
      <c r="Q3" s="24">
        <v>15526</v>
      </c>
      <c r="R3" s="25">
        <v>0.72599999999999998</v>
      </c>
    </row>
    <row r="4" spans="1:18" x14ac:dyDescent="0.25">
      <c r="A4" s="26" t="s">
        <v>47</v>
      </c>
      <c r="B4" s="26">
        <v>108.58</v>
      </c>
      <c r="C4" s="23"/>
      <c r="D4" s="26" t="s">
        <v>19</v>
      </c>
      <c r="E4" s="26">
        <v>619</v>
      </c>
      <c r="F4" s="23"/>
      <c r="G4" s="23"/>
      <c r="H4" s="23"/>
      <c r="I4" s="23"/>
      <c r="J4" s="23"/>
      <c r="K4" s="23"/>
      <c r="L4" s="23"/>
      <c r="M4" s="23"/>
      <c r="N4" s="23"/>
      <c r="O4" s="23" t="s">
        <v>17</v>
      </c>
      <c r="P4" s="23">
        <v>78</v>
      </c>
      <c r="Q4" s="24">
        <v>12635</v>
      </c>
      <c r="R4" s="25">
        <v>0.72060000000000002</v>
      </c>
    </row>
    <row r="5" spans="1:18" x14ac:dyDescent="0.25">
      <c r="A5" s="27" t="s">
        <v>67</v>
      </c>
      <c r="B5" s="27">
        <v>146.38</v>
      </c>
      <c r="C5" s="23"/>
      <c r="D5" s="27" t="s">
        <v>73</v>
      </c>
      <c r="E5" s="27">
        <v>396</v>
      </c>
      <c r="F5" s="23"/>
      <c r="G5" s="23"/>
      <c r="H5" s="23"/>
      <c r="I5" s="23"/>
      <c r="J5" s="23"/>
      <c r="K5" s="23"/>
      <c r="L5" s="23"/>
      <c r="M5" s="23"/>
      <c r="N5" s="23"/>
      <c r="O5" s="23" t="s">
        <v>15</v>
      </c>
      <c r="P5" s="23">
        <v>102</v>
      </c>
      <c r="Q5" s="24">
        <v>19095</v>
      </c>
      <c r="R5" s="25">
        <v>0.82989999999999997</v>
      </c>
    </row>
    <row r="6" spans="1:18" x14ac:dyDescent="0.25">
      <c r="A6" s="26" t="s">
        <v>99</v>
      </c>
      <c r="B6" s="26">
        <v>173.42</v>
      </c>
      <c r="C6" s="23"/>
      <c r="D6" s="26" t="s">
        <v>95</v>
      </c>
      <c r="E6" s="26">
        <v>385</v>
      </c>
      <c r="F6" s="23"/>
      <c r="G6" s="23"/>
      <c r="H6" s="23"/>
      <c r="I6" s="23"/>
      <c r="J6" s="23"/>
      <c r="K6" s="23"/>
      <c r="L6" s="23"/>
      <c r="M6" s="23"/>
      <c r="N6" s="23"/>
      <c r="O6" s="23" t="s">
        <v>19</v>
      </c>
      <c r="P6" s="23">
        <v>619</v>
      </c>
      <c r="Q6" s="24">
        <v>23838</v>
      </c>
      <c r="R6" s="25">
        <v>0.66569999999999996</v>
      </c>
    </row>
    <row r="7" spans="1:18" x14ac:dyDescent="0.25">
      <c r="A7" s="27" t="s">
        <v>23</v>
      </c>
      <c r="B7" s="27">
        <v>181.59</v>
      </c>
      <c r="C7" s="23"/>
      <c r="D7" s="27" t="s">
        <v>27</v>
      </c>
      <c r="E7" s="27">
        <v>323</v>
      </c>
      <c r="F7" s="23"/>
      <c r="G7" s="23"/>
      <c r="H7" s="23"/>
      <c r="I7" s="23"/>
      <c r="J7" s="23"/>
      <c r="K7" s="23"/>
      <c r="L7" s="23"/>
      <c r="M7" s="23"/>
      <c r="N7" s="23"/>
      <c r="O7" s="23" t="s">
        <v>21</v>
      </c>
      <c r="P7" s="23">
        <v>82</v>
      </c>
      <c r="Q7" s="24">
        <v>21353</v>
      </c>
      <c r="R7" s="25">
        <v>0.80049999999999999</v>
      </c>
    </row>
    <row r="8" spans="1:18" x14ac:dyDescent="0.25">
      <c r="A8" s="26" t="s">
        <v>69</v>
      </c>
      <c r="B8" s="26">
        <v>195.37</v>
      </c>
      <c r="C8" s="23"/>
      <c r="D8" s="26" t="s">
        <v>85</v>
      </c>
      <c r="E8" s="26">
        <v>307</v>
      </c>
      <c r="F8" s="23"/>
      <c r="G8" s="23"/>
      <c r="H8" s="23"/>
      <c r="I8" s="23"/>
      <c r="J8" s="23"/>
      <c r="K8" s="23"/>
      <c r="L8" s="23"/>
      <c r="M8" s="23"/>
      <c r="N8" s="23"/>
      <c r="O8" s="23" t="s">
        <v>23</v>
      </c>
      <c r="P8" s="23">
        <v>53</v>
      </c>
      <c r="Q8" s="24">
        <v>35223</v>
      </c>
      <c r="R8" s="25">
        <v>0.65369999999999995</v>
      </c>
    </row>
    <row r="9" spans="1:18" x14ac:dyDescent="0.25">
      <c r="A9" s="27" t="s">
        <v>101</v>
      </c>
      <c r="B9" s="27">
        <v>208.66</v>
      </c>
      <c r="C9" s="23"/>
      <c r="D9" s="27" t="s">
        <v>79</v>
      </c>
      <c r="E9" s="27">
        <v>273</v>
      </c>
      <c r="F9" s="23"/>
      <c r="G9" s="23"/>
      <c r="H9" s="23"/>
      <c r="I9" s="23"/>
      <c r="J9" s="23"/>
      <c r="K9" s="23"/>
      <c r="L9" s="23"/>
      <c r="M9" s="23"/>
      <c r="N9" s="23"/>
      <c r="O9" s="23" t="s">
        <v>25</v>
      </c>
      <c r="P9" s="23">
        <v>15</v>
      </c>
      <c r="Q9" s="24">
        <v>20253</v>
      </c>
      <c r="R9" s="25">
        <v>0.66259999999999997</v>
      </c>
    </row>
    <row r="10" spans="1:18" x14ac:dyDescent="0.25">
      <c r="A10" s="29" t="s">
        <v>87</v>
      </c>
      <c r="B10" s="29">
        <v>230.81</v>
      </c>
      <c r="C10" s="23"/>
      <c r="D10" s="29" t="s">
        <v>35</v>
      </c>
      <c r="E10" s="29">
        <v>229</v>
      </c>
      <c r="F10" s="23"/>
      <c r="G10" s="23"/>
      <c r="H10" s="23"/>
      <c r="I10" s="23"/>
      <c r="J10" s="23"/>
      <c r="K10" s="23"/>
      <c r="L10" s="23"/>
      <c r="M10" s="23"/>
      <c r="N10" s="23"/>
      <c r="O10" s="23" t="s">
        <v>27</v>
      </c>
      <c r="P10" s="23">
        <v>323</v>
      </c>
      <c r="Q10" s="24">
        <v>19282</v>
      </c>
      <c r="R10" s="25">
        <v>0.69940000000000002</v>
      </c>
    </row>
    <row r="11" spans="1:18" x14ac:dyDescent="0.25">
      <c r="A11" s="23"/>
      <c r="B11" s="23"/>
      <c r="C11" s="23"/>
      <c r="D11" s="23"/>
      <c r="E11" s="23"/>
      <c r="F11" s="23"/>
      <c r="G11" s="23"/>
      <c r="H11" s="23"/>
      <c r="I11" s="23"/>
      <c r="J11" s="23"/>
      <c r="K11" s="23"/>
      <c r="L11" s="23"/>
      <c r="M11" s="23"/>
      <c r="N11" s="23"/>
      <c r="O11" s="23" t="s">
        <v>29</v>
      </c>
      <c r="P11" s="23">
        <v>135</v>
      </c>
      <c r="Q11" s="24">
        <v>17752</v>
      </c>
      <c r="R11" s="25">
        <v>0.70309999999999995</v>
      </c>
    </row>
    <row r="12" spans="1:18" x14ac:dyDescent="0.25">
      <c r="A12" s="23" t="s">
        <v>329</v>
      </c>
      <c r="B12" s="23"/>
      <c r="C12" s="23"/>
      <c r="D12" s="23" t="s">
        <v>335</v>
      </c>
      <c r="E12" s="23"/>
      <c r="F12" s="23"/>
      <c r="G12" s="23"/>
      <c r="H12" s="23"/>
      <c r="I12" s="23"/>
      <c r="J12" s="23"/>
      <c r="K12" s="23"/>
      <c r="L12" s="23"/>
      <c r="M12" s="23"/>
      <c r="N12" s="23"/>
      <c r="O12" s="23" t="s">
        <v>31</v>
      </c>
      <c r="P12" s="23">
        <v>22</v>
      </c>
      <c r="Q12" s="24">
        <v>15223</v>
      </c>
      <c r="R12" s="25">
        <v>0.78510000000000002</v>
      </c>
    </row>
    <row r="13" spans="1:18" x14ac:dyDescent="0.25">
      <c r="A13" s="28" t="s">
        <v>330</v>
      </c>
      <c r="B13" s="28" t="s">
        <v>331</v>
      </c>
      <c r="C13" s="23"/>
      <c r="D13" s="28" t="s">
        <v>330</v>
      </c>
      <c r="E13" s="28" t="s">
        <v>332</v>
      </c>
      <c r="F13" s="23"/>
      <c r="G13" s="23"/>
      <c r="H13" s="23"/>
      <c r="I13" s="23"/>
      <c r="J13" s="23"/>
      <c r="K13" s="23"/>
      <c r="L13" s="23"/>
      <c r="M13" s="23"/>
      <c r="N13" s="23"/>
      <c r="O13" s="23" t="s">
        <v>39</v>
      </c>
      <c r="P13" s="23">
        <v>75</v>
      </c>
      <c r="Q13" s="24">
        <v>23163</v>
      </c>
      <c r="R13" s="25">
        <v>0.77629999999999999</v>
      </c>
    </row>
    <row r="14" spans="1:18" x14ac:dyDescent="0.25">
      <c r="A14" s="28" t="s">
        <v>330</v>
      </c>
      <c r="B14" s="28" t="s">
        <v>331</v>
      </c>
      <c r="C14" s="23"/>
      <c r="D14" s="28" t="s">
        <v>330</v>
      </c>
      <c r="E14" s="28" t="s">
        <v>332</v>
      </c>
      <c r="F14" s="23"/>
      <c r="G14" s="23"/>
      <c r="H14" s="23"/>
      <c r="I14" s="23"/>
      <c r="J14" s="23"/>
      <c r="K14" s="23"/>
      <c r="L14" s="23"/>
      <c r="M14" s="23"/>
      <c r="N14" s="23"/>
      <c r="O14" s="23" t="s">
        <v>33</v>
      </c>
      <c r="P14" s="23">
        <v>32</v>
      </c>
      <c r="Q14" s="24">
        <v>19089</v>
      </c>
      <c r="R14" s="25">
        <v>0.80269999999999997</v>
      </c>
    </row>
    <row r="15" spans="1:18" x14ac:dyDescent="0.25">
      <c r="A15" s="26" t="s">
        <v>19</v>
      </c>
      <c r="B15" s="26">
        <v>405451</v>
      </c>
      <c r="C15" s="23"/>
      <c r="D15" s="26" t="s">
        <v>99</v>
      </c>
      <c r="E15" s="34">
        <v>41456</v>
      </c>
      <c r="F15" s="23"/>
      <c r="G15" s="23"/>
      <c r="H15" s="23"/>
      <c r="I15" s="23"/>
      <c r="J15" s="23"/>
      <c r="K15" s="23"/>
      <c r="L15" s="23"/>
      <c r="M15" s="23"/>
      <c r="N15" s="23"/>
      <c r="O15" s="23" t="s">
        <v>35</v>
      </c>
      <c r="P15" s="23">
        <v>229</v>
      </c>
      <c r="Q15" s="24">
        <v>23083</v>
      </c>
      <c r="R15" s="25">
        <v>0.73050000000000004</v>
      </c>
    </row>
    <row r="16" spans="1:18" x14ac:dyDescent="0.25">
      <c r="A16" s="27" t="s">
        <v>73</v>
      </c>
      <c r="B16" s="27">
        <v>270847</v>
      </c>
      <c r="C16" s="23"/>
      <c r="D16" s="27" t="s">
        <v>87</v>
      </c>
      <c r="E16" s="35">
        <v>37959</v>
      </c>
      <c r="F16" s="23"/>
      <c r="G16" s="23"/>
      <c r="H16" s="23"/>
      <c r="I16" s="23"/>
      <c r="J16" s="23"/>
      <c r="K16" s="23"/>
      <c r="L16" s="23"/>
      <c r="M16" s="23"/>
      <c r="N16" s="23"/>
      <c r="O16" s="23" t="s">
        <v>37</v>
      </c>
      <c r="P16" s="23">
        <v>103</v>
      </c>
      <c r="Q16" s="24">
        <v>27502</v>
      </c>
      <c r="R16" s="25">
        <v>0.78029999999999999</v>
      </c>
    </row>
    <row r="17" spans="1:18" x14ac:dyDescent="0.25">
      <c r="A17" s="26" t="s">
        <v>95</v>
      </c>
      <c r="B17" s="26">
        <v>246812</v>
      </c>
      <c r="C17" s="23"/>
      <c r="D17" s="26" t="s">
        <v>51</v>
      </c>
      <c r="E17" s="34">
        <v>37093</v>
      </c>
      <c r="F17" s="23"/>
      <c r="G17" s="23"/>
      <c r="H17" s="23"/>
      <c r="I17" s="23"/>
      <c r="J17" s="23"/>
      <c r="K17" s="23"/>
      <c r="L17" s="23"/>
      <c r="M17" s="23"/>
      <c r="N17" s="23"/>
      <c r="O17" s="23" t="s">
        <v>41</v>
      </c>
      <c r="P17" s="23">
        <v>73</v>
      </c>
      <c r="Q17" s="24">
        <v>16791</v>
      </c>
      <c r="R17" s="25">
        <v>0.79330000000000001</v>
      </c>
    </row>
    <row r="18" spans="1:18" x14ac:dyDescent="0.25">
      <c r="A18" s="27" t="s">
        <v>27</v>
      </c>
      <c r="B18" s="27">
        <v>214408</v>
      </c>
      <c r="C18" s="23"/>
      <c r="D18" s="27" t="s">
        <v>23</v>
      </c>
      <c r="E18" s="35">
        <v>35223</v>
      </c>
      <c r="F18" s="23"/>
      <c r="G18" s="23"/>
      <c r="H18" s="23"/>
      <c r="I18" s="23"/>
      <c r="J18" s="23"/>
      <c r="K18" s="23"/>
      <c r="L18" s="23"/>
      <c r="M18" s="23"/>
      <c r="N18" s="23"/>
      <c r="O18" s="23" t="s">
        <v>43</v>
      </c>
      <c r="P18" s="23">
        <v>85</v>
      </c>
      <c r="Q18" s="24">
        <v>19238</v>
      </c>
      <c r="R18" s="25">
        <v>0.77939999999999998</v>
      </c>
    </row>
    <row r="19" spans="1:18" x14ac:dyDescent="0.25">
      <c r="A19" s="26" t="s">
        <v>85</v>
      </c>
      <c r="B19" s="26">
        <v>148327</v>
      </c>
      <c r="C19" s="23"/>
      <c r="D19" s="26" t="s">
        <v>85</v>
      </c>
      <c r="E19" s="34">
        <v>28996</v>
      </c>
      <c r="F19" s="23"/>
      <c r="G19" s="23"/>
      <c r="H19" s="23"/>
      <c r="I19" s="23"/>
      <c r="J19" s="23"/>
      <c r="K19" s="23"/>
      <c r="L19" s="23"/>
      <c r="M19" s="23"/>
      <c r="N19" s="23"/>
      <c r="O19" s="23" t="s">
        <v>45</v>
      </c>
      <c r="P19" s="23">
        <v>107</v>
      </c>
      <c r="Q19" s="24">
        <v>16834</v>
      </c>
      <c r="R19" s="25">
        <v>0.7107</v>
      </c>
    </row>
    <row r="20" spans="1:18" x14ac:dyDescent="0.25">
      <c r="A20" s="27" t="s">
        <v>35</v>
      </c>
      <c r="B20" s="27">
        <v>128263</v>
      </c>
      <c r="C20" s="23"/>
      <c r="D20" s="27" t="s">
        <v>47</v>
      </c>
      <c r="E20" s="35">
        <v>28095</v>
      </c>
      <c r="F20" s="23"/>
      <c r="G20" s="23"/>
      <c r="H20" s="23"/>
      <c r="I20" s="23"/>
      <c r="J20" s="23"/>
      <c r="K20" s="23"/>
      <c r="L20" s="23"/>
      <c r="M20" s="23"/>
      <c r="N20" s="23"/>
      <c r="O20" s="23" t="s">
        <v>51</v>
      </c>
      <c r="P20" s="23">
        <v>140</v>
      </c>
      <c r="Q20" s="24">
        <v>37093</v>
      </c>
      <c r="R20" s="25">
        <v>0.63829999999999998</v>
      </c>
    </row>
    <row r="21" spans="1:18" x14ac:dyDescent="0.25">
      <c r="A21" s="29" t="s">
        <v>79</v>
      </c>
      <c r="B21" s="29">
        <v>122521</v>
      </c>
      <c r="C21" s="23"/>
      <c r="D21" s="29" t="s">
        <v>37</v>
      </c>
      <c r="E21" s="36">
        <v>27502</v>
      </c>
      <c r="F21" s="23"/>
      <c r="G21" s="23"/>
      <c r="H21" s="23"/>
      <c r="I21" s="23"/>
      <c r="J21" s="23"/>
      <c r="K21" s="23"/>
      <c r="L21" s="23"/>
      <c r="M21" s="23"/>
      <c r="N21" s="23"/>
      <c r="O21" s="23" t="s">
        <v>49</v>
      </c>
      <c r="P21" s="23">
        <v>73</v>
      </c>
      <c r="Q21" s="24">
        <v>24296</v>
      </c>
      <c r="R21" s="25">
        <v>0.73839999999999995</v>
      </c>
    </row>
    <row r="22" spans="1:18" x14ac:dyDescent="0.25">
      <c r="A22" s="23"/>
      <c r="B22" s="23"/>
      <c r="C22" s="23"/>
      <c r="D22" s="23"/>
      <c r="E22" s="23"/>
      <c r="F22" s="23"/>
      <c r="G22" s="23"/>
      <c r="H22" s="23"/>
      <c r="I22" s="23"/>
      <c r="J22" s="23"/>
      <c r="K22" s="23"/>
      <c r="L22" s="23"/>
      <c r="M22" s="23"/>
      <c r="N22" s="23"/>
      <c r="O22" s="23" t="s">
        <v>47</v>
      </c>
      <c r="P22" s="23">
        <v>33</v>
      </c>
      <c r="Q22" s="24">
        <v>28095</v>
      </c>
      <c r="R22" s="25">
        <v>0.68840000000000001</v>
      </c>
    </row>
    <row r="23" spans="1:18" x14ac:dyDescent="0.25">
      <c r="A23" s="23" t="s">
        <v>334</v>
      </c>
      <c r="B23" s="23"/>
      <c r="C23" s="23"/>
      <c r="D23" s="23"/>
      <c r="E23" s="23"/>
      <c r="F23" s="23"/>
      <c r="G23" s="23"/>
      <c r="H23" s="23"/>
      <c r="I23" s="23"/>
      <c r="J23" s="23"/>
      <c r="K23" s="23"/>
      <c r="L23" s="23"/>
      <c r="M23" s="23"/>
      <c r="N23" s="23"/>
      <c r="O23" s="23" t="s">
        <v>53</v>
      </c>
      <c r="P23" s="23">
        <v>155</v>
      </c>
      <c r="Q23" s="24">
        <v>21533</v>
      </c>
      <c r="R23" s="25">
        <v>0.76139999999999997</v>
      </c>
    </row>
    <row r="24" spans="1:18" x14ac:dyDescent="0.25">
      <c r="A24" s="28" t="s">
        <v>7</v>
      </c>
      <c r="B24" s="28" t="s">
        <v>112</v>
      </c>
      <c r="C24" s="23"/>
      <c r="D24" s="23"/>
      <c r="E24" s="23"/>
      <c r="F24" s="23"/>
      <c r="G24" s="23"/>
      <c r="H24" s="23"/>
      <c r="I24" s="23"/>
      <c r="J24" s="23"/>
      <c r="K24" s="23"/>
      <c r="L24" s="23"/>
      <c r="M24" s="23"/>
      <c r="N24" s="23"/>
      <c r="O24" s="23" t="s">
        <v>55</v>
      </c>
      <c r="P24" s="23">
        <v>89</v>
      </c>
      <c r="Q24" s="24">
        <v>19543</v>
      </c>
      <c r="R24" s="25">
        <v>0.74550000000000005</v>
      </c>
    </row>
    <row r="25" spans="1:18" x14ac:dyDescent="0.25">
      <c r="A25" s="28" t="s">
        <v>7</v>
      </c>
      <c r="B25" s="28" t="s">
        <v>112</v>
      </c>
      <c r="C25" s="23"/>
      <c r="D25" s="23"/>
      <c r="E25" s="23"/>
      <c r="F25" s="23"/>
      <c r="G25" s="23"/>
      <c r="H25" s="23"/>
      <c r="I25" s="23"/>
      <c r="J25" s="23"/>
      <c r="K25" s="23"/>
      <c r="L25" s="23"/>
      <c r="M25" s="23"/>
      <c r="N25" s="23"/>
      <c r="O25" s="23" t="s">
        <v>59</v>
      </c>
      <c r="P25" s="23">
        <v>137</v>
      </c>
      <c r="Q25" s="24">
        <v>19624</v>
      </c>
      <c r="R25" s="25">
        <v>0.75590000000000002</v>
      </c>
    </row>
    <row r="26" spans="1:18" x14ac:dyDescent="0.25">
      <c r="A26" s="26" t="s">
        <v>109</v>
      </c>
      <c r="B26" s="31">
        <v>0.97009999999999996</v>
      </c>
      <c r="C26" s="23"/>
      <c r="D26" s="23"/>
      <c r="E26" s="23"/>
      <c r="F26" s="23"/>
      <c r="G26" s="23"/>
      <c r="H26" s="23"/>
      <c r="I26" s="23"/>
      <c r="J26" s="23"/>
      <c r="K26" s="23"/>
      <c r="L26" s="23"/>
      <c r="M26" s="23"/>
      <c r="N26" s="23"/>
      <c r="O26" s="23" t="s">
        <v>57</v>
      </c>
      <c r="P26" s="23">
        <v>50</v>
      </c>
      <c r="Q26" s="24">
        <v>11734</v>
      </c>
      <c r="R26" s="25">
        <v>0.72760000000000002</v>
      </c>
    </row>
    <row r="27" spans="1:18" x14ac:dyDescent="0.25">
      <c r="A27" s="27" t="s">
        <v>65</v>
      </c>
      <c r="B27" s="32">
        <v>0.88400000000000001</v>
      </c>
      <c r="C27" s="23"/>
      <c r="D27" s="23"/>
      <c r="E27" s="23"/>
      <c r="F27" s="23"/>
      <c r="G27" s="23"/>
      <c r="H27" s="23"/>
      <c r="I27" s="23"/>
      <c r="J27" s="23"/>
      <c r="K27" s="23"/>
      <c r="L27" s="23"/>
      <c r="M27" s="23"/>
      <c r="N27" s="23"/>
      <c r="O27" s="23" t="s">
        <v>61</v>
      </c>
      <c r="P27" s="23">
        <v>28</v>
      </c>
      <c r="Q27" s="24">
        <v>15622</v>
      </c>
      <c r="R27" s="25">
        <v>0.83320000000000005</v>
      </c>
    </row>
    <row r="28" spans="1:18" x14ac:dyDescent="0.25">
      <c r="A28" s="26" t="s">
        <v>105</v>
      </c>
      <c r="B28" s="31">
        <v>0.83399999999999996</v>
      </c>
      <c r="C28" s="23"/>
      <c r="D28" s="23"/>
      <c r="E28" s="23"/>
      <c r="F28" s="23"/>
      <c r="G28" s="23"/>
      <c r="H28" s="23"/>
      <c r="I28" s="23"/>
      <c r="J28" s="23"/>
      <c r="K28" s="23"/>
      <c r="L28" s="23"/>
      <c r="M28" s="23"/>
      <c r="N28" s="23"/>
      <c r="O28" s="23" t="s">
        <v>75</v>
      </c>
      <c r="P28" s="23">
        <v>161</v>
      </c>
      <c r="Q28" s="24">
        <v>18517</v>
      </c>
      <c r="R28" s="25">
        <v>0.69710000000000005</v>
      </c>
    </row>
    <row r="29" spans="1:18" x14ac:dyDescent="0.25">
      <c r="A29" s="27" t="s">
        <v>61</v>
      </c>
      <c r="B29" s="32">
        <v>0.83320000000000005</v>
      </c>
      <c r="C29" s="23"/>
      <c r="D29" s="23"/>
      <c r="E29" s="23"/>
      <c r="F29" s="23"/>
      <c r="G29" s="23"/>
      <c r="H29" s="23"/>
      <c r="I29" s="23"/>
      <c r="J29" s="23"/>
      <c r="K29" s="23"/>
      <c r="L29" s="23"/>
      <c r="M29" s="23"/>
      <c r="N29" s="23"/>
      <c r="O29" s="23" t="s">
        <v>77</v>
      </c>
      <c r="P29" s="23">
        <v>25</v>
      </c>
      <c r="Q29" s="24">
        <v>10726</v>
      </c>
      <c r="R29" s="25">
        <v>0.72760000000000002</v>
      </c>
    </row>
    <row r="30" spans="1:18" x14ac:dyDescent="0.25">
      <c r="A30" s="26" t="s">
        <v>15</v>
      </c>
      <c r="B30" s="31">
        <v>0.82989999999999997</v>
      </c>
      <c r="C30" s="23"/>
      <c r="D30" s="23"/>
      <c r="E30" s="23"/>
      <c r="F30" s="23"/>
      <c r="G30" s="23"/>
      <c r="H30" s="23"/>
      <c r="I30" s="23"/>
      <c r="J30" s="23"/>
      <c r="K30" s="23"/>
      <c r="L30" s="23"/>
      <c r="M30" s="23"/>
      <c r="N30" s="23"/>
      <c r="O30" s="23" t="s">
        <v>63</v>
      </c>
      <c r="P30" s="23">
        <v>39</v>
      </c>
      <c r="Q30" s="24">
        <v>17995</v>
      </c>
      <c r="R30" s="25">
        <v>0.71550000000000002</v>
      </c>
    </row>
    <row r="31" spans="1:18" x14ac:dyDescent="0.25">
      <c r="A31" s="27" t="s">
        <v>91</v>
      </c>
      <c r="B31" s="32">
        <v>0.82210000000000005</v>
      </c>
      <c r="C31" s="23"/>
      <c r="D31" s="23"/>
      <c r="E31" s="23"/>
      <c r="F31" s="23"/>
      <c r="G31" s="23"/>
      <c r="H31" s="23"/>
      <c r="I31" s="23"/>
      <c r="J31" s="23"/>
      <c r="K31" s="23"/>
      <c r="L31" s="23"/>
      <c r="M31" s="23"/>
      <c r="N31" s="23"/>
      <c r="O31" s="23" t="s">
        <v>67</v>
      </c>
      <c r="P31" s="23">
        <v>32</v>
      </c>
      <c r="Q31" s="24">
        <v>26158</v>
      </c>
      <c r="R31" s="25">
        <v>0.78029999999999999</v>
      </c>
    </row>
    <row r="32" spans="1:18" x14ac:dyDescent="0.25">
      <c r="A32" s="29" t="s">
        <v>97</v>
      </c>
      <c r="B32" s="33">
        <v>0.81869999999999998</v>
      </c>
      <c r="C32" s="23"/>
      <c r="D32" s="23"/>
      <c r="E32" s="23"/>
      <c r="F32" s="23"/>
      <c r="G32" s="23"/>
      <c r="H32" s="23"/>
      <c r="I32" s="23"/>
      <c r="J32" s="23"/>
      <c r="K32" s="23"/>
      <c r="L32" s="23"/>
      <c r="M32" s="23"/>
      <c r="N32" s="23"/>
      <c r="O32" s="23" t="s">
        <v>69</v>
      </c>
      <c r="P32" s="23">
        <v>145</v>
      </c>
      <c r="Q32" s="24">
        <v>20544</v>
      </c>
      <c r="R32" s="25">
        <v>0.76280000000000003</v>
      </c>
    </row>
    <row r="33" spans="1:18" x14ac:dyDescent="0.25">
      <c r="A33" s="23"/>
      <c r="B33" s="23"/>
      <c r="C33" s="23"/>
      <c r="D33" s="23"/>
      <c r="E33" s="23"/>
      <c r="F33" s="23"/>
      <c r="G33" s="23"/>
      <c r="H33" s="23"/>
      <c r="I33" s="23"/>
      <c r="J33" s="23"/>
      <c r="K33" s="23"/>
      <c r="L33" s="23"/>
      <c r="M33" s="23"/>
      <c r="N33" s="23"/>
      <c r="O33" s="23" t="s">
        <v>71</v>
      </c>
      <c r="P33" s="23">
        <v>42</v>
      </c>
      <c r="Q33" s="24">
        <v>13768</v>
      </c>
      <c r="R33" s="25">
        <v>0.69569999999999999</v>
      </c>
    </row>
    <row r="34" spans="1:18" x14ac:dyDescent="0.25">
      <c r="A34" s="23"/>
      <c r="B34" s="23"/>
      <c r="C34" s="23"/>
      <c r="D34" s="23"/>
      <c r="E34" s="23"/>
      <c r="F34" s="23"/>
      <c r="G34" s="23"/>
      <c r="H34" s="23"/>
      <c r="I34" s="23"/>
      <c r="J34" s="23"/>
      <c r="K34" s="23"/>
      <c r="L34" s="23"/>
      <c r="M34" s="23"/>
      <c r="N34" s="23"/>
      <c r="O34" s="23" t="s">
        <v>65</v>
      </c>
      <c r="P34" s="23">
        <v>37</v>
      </c>
      <c r="Q34" s="24">
        <v>21095</v>
      </c>
      <c r="R34" s="25">
        <v>0.88400000000000001</v>
      </c>
    </row>
    <row r="35" spans="1:18" x14ac:dyDescent="0.25">
      <c r="A35" s="23"/>
      <c r="B35" s="23"/>
      <c r="C35" s="23"/>
      <c r="D35" s="23"/>
      <c r="E35" s="23"/>
      <c r="F35" s="23"/>
      <c r="G35" s="23"/>
      <c r="H35" s="23"/>
      <c r="I35" s="23"/>
      <c r="J35" s="23"/>
      <c r="K35" s="23"/>
      <c r="L35" s="23"/>
      <c r="M35" s="23"/>
      <c r="N35" s="23"/>
      <c r="O35" s="23" t="s">
        <v>73</v>
      </c>
      <c r="P35" s="23">
        <v>396</v>
      </c>
      <c r="Q35" s="24">
        <v>24098</v>
      </c>
      <c r="R35" s="25">
        <v>0.69059999999999999</v>
      </c>
    </row>
    <row r="36" spans="1:18" x14ac:dyDescent="0.25">
      <c r="A36" s="23"/>
      <c r="B36" s="23"/>
      <c r="C36" s="23"/>
      <c r="D36" s="23"/>
      <c r="E36" s="23"/>
      <c r="F36" s="23"/>
      <c r="G36" s="23"/>
      <c r="H36" s="23"/>
      <c r="I36" s="23"/>
      <c r="J36" s="23"/>
      <c r="K36" s="23"/>
      <c r="L36" s="23"/>
      <c r="M36" s="23"/>
      <c r="N36" s="23"/>
      <c r="O36" s="23" t="s">
        <v>79</v>
      </c>
      <c r="P36" s="23">
        <v>273</v>
      </c>
      <c r="Q36" s="24">
        <v>21770</v>
      </c>
      <c r="R36" s="25">
        <v>0.69669999999999999</v>
      </c>
    </row>
    <row r="37" spans="1:18" x14ac:dyDescent="0.25">
      <c r="A37" s="23"/>
      <c r="B37" s="23"/>
      <c r="C37" s="23"/>
      <c r="D37" s="23"/>
      <c r="E37" s="23"/>
      <c r="F37" s="23"/>
      <c r="G37" s="23"/>
      <c r="H37" s="23"/>
      <c r="I37" s="23"/>
      <c r="J37" s="23"/>
      <c r="K37" s="23"/>
      <c r="L37" s="23"/>
      <c r="M37" s="23"/>
      <c r="N37" s="23"/>
      <c r="O37" s="23" t="s">
        <v>81</v>
      </c>
      <c r="P37" s="23">
        <v>96</v>
      </c>
      <c r="Q37" s="24">
        <v>15427</v>
      </c>
      <c r="R37" s="25">
        <v>0.76819999999999999</v>
      </c>
    </row>
    <row r="38" spans="1:18" x14ac:dyDescent="0.25">
      <c r="A38" s="23"/>
      <c r="B38" s="23"/>
      <c r="C38" s="23"/>
      <c r="D38" s="23"/>
      <c r="E38" s="23"/>
      <c r="F38" s="23"/>
      <c r="G38" s="23"/>
      <c r="H38" s="23"/>
      <c r="I38" s="23"/>
      <c r="J38" s="23"/>
      <c r="K38" s="23"/>
      <c r="L38" s="23"/>
      <c r="M38" s="23"/>
      <c r="N38" s="23"/>
      <c r="O38" s="23" t="s">
        <v>83</v>
      </c>
      <c r="P38" s="23">
        <v>72</v>
      </c>
      <c r="Q38" s="24">
        <v>22661</v>
      </c>
      <c r="R38" s="25">
        <v>0.7913</v>
      </c>
    </row>
    <row r="39" spans="1:18" x14ac:dyDescent="0.25">
      <c r="A39" s="23"/>
      <c r="B39" s="23"/>
      <c r="C39" s="23"/>
      <c r="D39" s="23"/>
      <c r="E39" s="23"/>
      <c r="F39" s="23"/>
      <c r="G39" s="23"/>
      <c r="H39" s="23"/>
      <c r="I39" s="23"/>
      <c r="J39" s="23"/>
      <c r="K39" s="23"/>
      <c r="L39" s="23"/>
      <c r="M39" s="23"/>
      <c r="N39" s="23"/>
      <c r="O39" s="23" t="s">
        <v>85</v>
      </c>
      <c r="P39" s="23">
        <v>307</v>
      </c>
      <c r="Q39" s="24">
        <v>28996</v>
      </c>
      <c r="R39" s="25">
        <v>0.76049999999999995</v>
      </c>
    </row>
    <row r="40" spans="1:18" x14ac:dyDescent="0.25">
      <c r="A40" s="23"/>
      <c r="B40" s="23"/>
      <c r="C40" s="23"/>
      <c r="D40" s="23"/>
      <c r="E40" s="23"/>
      <c r="F40" s="23"/>
      <c r="G40" s="23"/>
      <c r="H40" s="23"/>
      <c r="I40" s="23"/>
      <c r="J40" s="23"/>
      <c r="K40" s="23"/>
      <c r="L40" s="23"/>
      <c r="M40" s="23"/>
      <c r="N40" s="23"/>
      <c r="O40" s="23" t="s">
        <v>87</v>
      </c>
      <c r="P40" s="23">
        <v>21</v>
      </c>
      <c r="Q40" s="24">
        <v>37959</v>
      </c>
      <c r="R40" s="25">
        <v>0.61750000000000005</v>
      </c>
    </row>
    <row r="41" spans="1:18" x14ac:dyDescent="0.25">
      <c r="A41" s="23"/>
      <c r="B41" s="23"/>
      <c r="C41" s="23"/>
      <c r="D41" s="23"/>
      <c r="E41" s="23"/>
      <c r="F41" s="23"/>
      <c r="G41" s="23"/>
      <c r="H41" s="23"/>
      <c r="I41" s="23"/>
      <c r="J41" s="23"/>
      <c r="K41" s="23"/>
      <c r="L41" s="23"/>
      <c r="M41" s="23"/>
      <c r="N41" s="23"/>
      <c r="O41" s="23" t="s">
        <v>89</v>
      </c>
      <c r="P41" s="23">
        <v>88</v>
      </c>
      <c r="Q41" s="24">
        <v>21069</v>
      </c>
      <c r="R41" s="25">
        <v>0.74</v>
      </c>
    </row>
    <row r="42" spans="1:18" x14ac:dyDescent="0.25">
      <c r="A42" s="23"/>
      <c r="B42" s="23"/>
      <c r="C42" s="23"/>
      <c r="D42" s="23"/>
      <c r="E42" s="23"/>
      <c r="F42" s="23"/>
      <c r="G42" s="23"/>
      <c r="H42" s="23"/>
      <c r="I42" s="23"/>
      <c r="J42" s="23"/>
      <c r="K42" s="23"/>
      <c r="L42" s="23"/>
      <c r="M42" s="23"/>
      <c r="N42" s="23"/>
      <c r="O42" s="23" t="s">
        <v>91</v>
      </c>
      <c r="P42" s="23">
        <v>26</v>
      </c>
      <c r="Q42" s="24">
        <v>12584</v>
      </c>
      <c r="R42" s="25">
        <v>0.82210000000000005</v>
      </c>
    </row>
    <row r="43" spans="1:18" x14ac:dyDescent="0.25">
      <c r="A43" s="23"/>
      <c r="B43" s="23"/>
      <c r="C43" s="23"/>
      <c r="D43" s="23"/>
      <c r="E43" s="23"/>
      <c r="F43" s="23"/>
      <c r="G43" s="23"/>
      <c r="H43" s="23"/>
      <c r="I43" s="23"/>
      <c r="J43" s="23"/>
      <c r="K43" s="23"/>
      <c r="L43" s="23"/>
      <c r="M43" s="23"/>
      <c r="N43" s="23"/>
      <c r="O43" s="23" t="s">
        <v>93</v>
      </c>
      <c r="P43" s="23">
        <v>139</v>
      </c>
      <c r="Q43" s="24">
        <v>18161</v>
      </c>
      <c r="R43" s="25">
        <v>0.69830000000000003</v>
      </c>
    </row>
    <row r="44" spans="1:18" x14ac:dyDescent="0.25">
      <c r="A44" s="23"/>
      <c r="B44" s="23"/>
      <c r="C44" s="23"/>
      <c r="D44" s="23"/>
      <c r="E44" s="23"/>
      <c r="F44" s="23"/>
      <c r="G44" s="23"/>
      <c r="H44" s="23"/>
      <c r="I44" s="23"/>
      <c r="J44" s="23"/>
      <c r="K44" s="23"/>
      <c r="L44" s="23"/>
      <c r="M44" s="23"/>
      <c r="N44" s="23"/>
      <c r="O44" s="23" t="s">
        <v>95</v>
      </c>
      <c r="P44" s="23">
        <v>385</v>
      </c>
      <c r="Q44" s="24">
        <v>19205</v>
      </c>
      <c r="R44" s="25">
        <v>0.75549999999999995</v>
      </c>
    </row>
    <row r="45" spans="1:18" x14ac:dyDescent="0.25">
      <c r="A45" s="23"/>
      <c r="B45" s="23"/>
      <c r="C45" s="23"/>
      <c r="D45" s="23"/>
      <c r="E45" s="23"/>
      <c r="F45" s="23"/>
      <c r="G45" s="23"/>
      <c r="H45" s="23"/>
      <c r="I45" s="23"/>
      <c r="J45" s="23"/>
      <c r="K45" s="23"/>
      <c r="L45" s="23"/>
      <c r="M45" s="23"/>
      <c r="N45" s="23"/>
      <c r="O45" s="23" t="s">
        <v>97</v>
      </c>
      <c r="P45" s="23">
        <v>59</v>
      </c>
      <c r="Q45" s="24">
        <v>23278</v>
      </c>
      <c r="R45" s="25">
        <v>0.81869999999999998</v>
      </c>
    </row>
    <row r="46" spans="1:18" x14ac:dyDescent="0.25">
      <c r="A46" s="23"/>
      <c r="B46" s="23"/>
      <c r="C46" s="23"/>
      <c r="D46" s="23"/>
      <c r="E46" s="23"/>
      <c r="F46" s="23"/>
      <c r="G46" s="23"/>
      <c r="H46" s="23"/>
      <c r="I46" s="23"/>
      <c r="J46" s="23"/>
      <c r="K46" s="23"/>
      <c r="L46" s="23"/>
      <c r="M46" s="23"/>
      <c r="N46" s="23"/>
      <c r="O46" s="23" t="s">
        <v>101</v>
      </c>
      <c r="P46" s="23">
        <v>136</v>
      </c>
      <c r="Q46" s="24">
        <v>22173</v>
      </c>
      <c r="R46" s="25">
        <v>0.73580000000000001</v>
      </c>
    </row>
    <row r="47" spans="1:18" x14ac:dyDescent="0.25">
      <c r="A47" s="23"/>
      <c r="B47" s="23"/>
      <c r="C47" s="23"/>
      <c r="D47" s="23"/>
      <c r="E47" s="23"/>
      <c r="F47" s="23"/>
      <c r="G47" s="23"/>
      <c r="H47" s="23"/>
      <c r="I47" s="23"/>
      <c r="J47" s="23"/>
      <c r="K47" s="23"/>
      <c r="L47" s="23"/>
      <c r="M47" s="23"/>
      <c r="N47" s="23"/>
      <c r="O47" s="23" t="s">
        <v>99</v>
      </c>
      <c r="P47" s="23">
        <v>16</v>
      </c>
      <c r="Q47" s="24">
        <v>41456</v>
      </c>
      <c r="R47" s="25">
        <v>0.58989999999999998</v>
      </c>
    </row>
    <row r="48" spans="1:18" x14ac:dyDescent="0.25">
      <c r="A48" s="23"/>
      <c r="B48" s="23"/>
      <c r="C48" s="23"/>
      <c r="D48" s="23"/>
      <c r="E48" s="23"/>
      <c r="F48" s="23"/>
      <c r="G48" s="23"/>
      <c r="H48" s="23"/>
      <c r="I48" s="23"/>
      <c r="J48" s="23"/>
      <c r="K48" s="23"/>
      <c r="L48" s="23"/>
      <c r="M48" s="23"/>
      <c r="N48" s="23"/>
      <c r="O48" s="23" t="s">
        <v>103</v>
      </c>
      <c r="P48" s="23">
        <v>96</v>
      </c>
      <c r="Q48" s="24">
        <v>20152</v>
      </c>
      <c r="R48" s="25">
        <v>0.79679999999999995</v>
      </c>
    </row>
    <row r="49" spans="1:18" x14ac:dyDescent="0.25">
      <c r="A49" s="23"/>
      <c r="B49" s="23"/>
      <c r="C49" s="23"/>
      <c r="D49" s="23"/>
      <c r="E49" s="23"/>
      <c r="F49" s="23"/>
      <c r="G49" s="23"/>
      <c r="H49" s="23"/>
      <c r="I49" s="23"/>
      <c r="J49" s="23"/>
      <c r="K49" s="23"/>
      <c r="L49" s="23"/>
      <c r="M49" s="23"/>
      <c r="N49" s="23"/>
      <c r="O49" s="23" t="s">
        <v>107</v>
      </c>
      <c r="P49" s="23">
        <v>85</v>
      </c>
      <c r="Q49" s="24">
        <v>23078</v>
      </c>
      <c r="R49" s="25">
        <v>0.79369999999999996</v>
      </c>
    </row>
    <row r="50" spans="1:18" x14ac:dyDescent="0.25">
      <c r="A50" s="23"/>
      <c r="B50" s="23"/>
      <c r="C50" s="23"/>
      <c r="D50" s="23"/>
      <c r="E50" s="23"/>
      <c r="F50" s="23"/>
      <c r="G50" s="23"/>
      <c r="H50" s="23"/>
      <c r="I50" s="23"/>
      <c r="J50" s="23"/>
      <c r="K50" s="23"/>
      <c r="L50" s="23"/>
      <c r="M50" s="23"/>
      <c r="N50" s="23"/>
      <c r="O50" s="23" t="s">
        <v>105</v>
      </c>
      <c r="P50" s="23">
        <v>67</v>
      </c>
      <c r="Q50" s="24">
        <v>15133</v>
      </c>
      <c r="R50" s="25">
        <v>0.83399999999999996</v>
      </c>
    </row>
    <row r="51" spans="1:18" x14ac:dyDescent="0.25">
      <c r="A51" s="23"/>
      <c r="B51" s="23"/>
      <c r="C51" s="23"/>
      <c r="D51" s="23"/>
      <c r="E51" s="23"/>
      <c r="F51" s="23"/>
      <c r="G51" s="23"/>
      <c r="H51" s="23"/>
      <c r="I51" s="23"/>
      <c r="J51" s="23"/>
      <c r="K51" s="23"/>
      <c r="L51" s="23"/>
      <c r="M51" s="23"/>
      <c r="N51" s="23"/>
      <c r="O51" s="23" t="s">
        <v>109</v>
      </c>
      <c r="P51" s="23">
        <v>10</v>
      </c>
      <c r="Q51" s="24">
        <v>14508</v>
      </c>
      <c r="R51" s="25">
        <v>0.97009999999999996</v>
      </c>
    </row>
    <row r="52" spans="1:18" x14ac:dyDescent="0.25">
      <c r="A52" s="23"/>
      <c r="B52" s="23"/>
      <c r="C52" s="23"/>
      <c r="D52" s="23"/>
      <c r="E52" s="23"/>
      <c r="F52" s="23"/>
      <c r="G52" s="23"/>
      <c r="H52" s="23"/>
      <c r="I52" s="23"/>
      <c r="J52" s="23"/>
      <c r="K52" s="23"/>
      <c r="L52" s="23"/>
      <c r="M52" s="23"/>
      <c r="N52" s="23"/>
      <c r="O52" s="23"/>
      <c r="P52" s="23"/>
      <c r="Q52" s="23"/>
      <c r="R52" s="23"/>
    </row>
    <row r="53" spans="1:18" x14ac:dyDescent="0.25">
      <c r="A53" s="23"/>
      <c r="B53" s="23"/>
      <c r="D53" s="23"/>
      <c r="E53" s="23"/>
    </row>
    <row r="54" spans="1:18" x14ac:dyDescent="0.25">
      <c r="A54" s="23"/>
      <c r="B54" s="23"/>
      <c r="D54" s="23"/>
      <c r="E54" s="23"/>
    </row>
    <row r="55" spans="1:18" x14ac:dyDescent="0.25">
      <c r="A55" s="23"/>
      <c r="B55" s="23"/>
    </row>
  </sheetData>
  <pageMargins left="0.7" right="0.7" top="0.75" bottom="0.75" header="0.3" footer="0.3"/>
  <tableParts count="5">
    <tablePart r:id="rId1"/>
    <tablePart r:id="rId2"/>
    <tablePart r:id="rId3"/>
    <tablePart r:id="rId4"/>
    <tablePart r:id="rId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CF483C-FEF9-4C75-BB02-B398C312F85B}">
  <sheetPr codeName="Sheet12"/>
  <dimension ref="A2:C5"/>
  <sheetViews>
    <sheetView workbookViewId="0">
      <selection activeCell="B11" sqref="B11"/>
    </sheetView>
  </sheetViews>
  <sheetFormatPr defaultRowHeight="15" x14ac:dyDescent="0.25"/>
  <cols>
    <col min="1" max="1" width="14.85546875" bestFit="1" customWidth="1"/>
    <col min="2" max="2" width="15.7109375" bestFit="1" customWidth="1"/>
    <col min="3" max="3" width="21.7109375" bestFit="1" customWidth="1"/>
  </cols>
  <sheetData>
    <row r="2" spans="1:3" x14ac:dyDescent="0.25">
      <c r="A2" s="23" t="s">
        <v>300</v>
      </c>
      <c r="B2" s="23" t="s">
        <v>300</v>
      </c>
      <c r="C2" s="23" t="s">
        <v>303</v>
      </c>
    </row>
    <row r="3" spans="1:3" x14ac:dyDescent="0.25">
      <c r="A3" s="23" t="s">
        <v>303</v>
      </c>
      <c r="B3" s="23" t="s">
        <v>304</v>
      </c>
      <c r="C3" s="23" t="s">
        <v>305</v>
      </c>
    </row>
    <row r="4" spans="1:3" x14ac:dyDescent="0.25">
      <c r="A4" s="23"/>
      <c r="B4" s="23" t="s">
        <v>306</v>
      </c>
      <c r="C4" s="23" t="s">
        <v>307</v>
      </c>
    </row>
    <row r="5" spans="1:3" x14ac:dyDescent="0.25">
      <c r="A5" s="23"/>
      <c r="B5" s="23"/>
      <c r="C5" s="23" t="s">
        <v>308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xml version="1.0" encoding="utf-8"?>
<?mso-contentType ?>
<FormTemplates xmlns="http://schemas.microsoft.com/sharepoint/v3/contenttype/forms">
  <Display>DocumentLibraryForm</Display>
  <Edit>DocumentLibraryForm</Edit>
  <New>DocumentLibraryForm</New>
</FormTemplates>
</file>

<file path=customXml/item13.xml><?xml version="1.0" encoding="utf-8"?>
<ct:contentTypeSchema xmlns:ct="http://schemas.microsoft.com/office/2006/metadata/contentType" xmlns:ma="http://schemas.microsoft.com/office/2006/metadata/properties/metaAttributes" ct:_="" ma:_="" ma:contentTypeName="Document" ma:contentTypeID="0x010100E5C3FB176D23174F8AC6C72AA82C75AA" ma:contentTypeVersion="10" ma:contentTypeDescription="Create a new document." ma:contentTypeScope="" ma:versionID="3eaba2fcc77a4d0309b48b218a50fd24">
  <xsd:schema xmlns:xsd="http://www.w3.org/2001/XMLSchema" xmlns:xs="http://www.w3.org/2001/XMLSchema" xmlns:p="http://schemas.microsoft.com/office/2006/metadata/properties" xmlns:ns3="c24affff-6a52-4d38-b487-3a27fcd30a1f" targetNamespace="http://schemas.microsoft.com/office/2006/metadata/properties" ma:root="true" ma:fieldsID="973d8ee33f7d22c0a1b1eb06e791c66a" ns3:_="">
    <xsd:import namespace="c24affff-6a52-4d38-b487-3a27fcd30a1f"/>
    <xsd:element name="properties">
      <xsd:complexType>
        <xsd:sequence>
          <xsd:element name="documentManagement">
            <xsd:complexType>
              <xsd:all>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4affff-6a52-4d38-b487-3a27fcd30a1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SystemTags" ma:index="13" nillable="true" ma:displayName="MediaServiceSystemTags" ma:hidden="true" ma:internalName="MediaServiceSystemTags" ma:readOnly="true">
      <xsd:simpleType>
        <xsd:restriction base="dms:Note"/>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_activity" ma:index="17"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4.xml><?xml version="1.0" encoding="utf-8"?>
<p:properties xmlns:p="http://schemas.microsoft.com/office/2006/metadata/properties" xmlns:xsi="http://www.w3.org/2001/XMLSchema-instance" xmlns:pc="http://schemas.microsoft.com/office/infopath/2007/PartnerControls">
  <documentManagement>
    <_activity xmlns="c24affff-6a52-4d38-b487-3a27fcd30a1f" xsi:nil="true"/>
  </documentManagement>
</p:properties>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5003F1E8-1DCC-4EDC-9AC1-5F26299AF2FB}">
  <ds:schemaRefs>
    <ds:schemaRef ds:uri="http://gemini/pivotcustomization/Diagrams"/>
  </ds:schemaRefs>
</ds:datastoreItem>
</file>

<file path=customXml/itemProps2.xml><?xml version="1.0" encoding="utf-8"?>
<ds:datastoreItem xmlns:ds="http://schemas.openxmlformats.org/officeDocument/2006/customXml" ds:itemID="{96F8E215-8378-4A1E-A721-6B4D4C1037E2}">
  <ds:schemaRefs>
    <ds:schemaRef ds:uri="http://gemini/pivotcustomization/TableOrder"/>
  </ds:schemaRefs>
</ds:datastoreItem>
</file>

<file path=customXml/itemProps3.xml><?xml version="1.0" encoding="utf-8"?>
<ds:datastoreItem xmlns:ds="http://schemas.openxmlformats.org/officeDocument/2006/customXml" ds:itemID="{6203ADF7-2D26-414D-B983-0D40D7EAD4EA}">
  <ds:schemaRefs>
    <ds:schemaRef ds:uri="http://gemini/pivotcustomization/ShowImplicitMeasures"/>
  </ds:schemaRefs>
</ds:datastoreItem>
</file>

<file path=customXml/itemProps4.xml><?xml version="1.0" encoding="utf-8"?>
<ds:datastoreItem xmlns:ds="http://schemas.openxmlformats.org/officeDocument/2006/customXml" ds:itemID="{81C80A81-F538-4869-8897-8B7EF22F9B38}">
  <ds:schemaRefs>
    <ds:schemaRef ds:uri="http://gemini/pivotcustomization/LinkedTableUpdateMode"/>
  </ds:schemaRefs>
</ds:datastoreItem>
</file>

<file path=customXml/itemProps5.xml><?xml version="1.0" encoding="utf-8"?>
<ds:datastoreItem xmlns:ds="http://schemas.openxmlformats.org/officeDocument/2006/customXml" ds:itemID="{99871925-9F8E-45AC-92A6-76B711B4913E}">
  <ds:schemaRefs>
    <ds:schemaRef ds:uri="http://gemini/pivotcustomization/TableWidget"/>
  </ds:schemaRefs>
</ds:datastoreItem>
</file>

<file path=customXml/itemProps6.xml><?xml version="1.0" encoding="utf-8"?>
<ds:datastoreItem xmlns:ds="http://schemas.openxmlformats.org/officeDocument/2006/customXml" ds:itemID="{7D2C461A-452B-430A-B54C-BE970C0047BA}">
  <ds:schemaRefs>
    <ds:schemaRef ds:uri="http://gemini/pivotcustomization/FormulaBarState"/>
  </ds:schemaRefs>
</ds:datastoreItem>
</file>

<file path=customXml/itemProps7.xml><?xml version="1.0" encoding="utf-8"?>
<ds:datastoreItem xmlns:ds="http://schemas.openxmlformats.org/officeDocument/2006/customXml" ds:itemID="{FD3F37CA-719F-4AD0-A8F1-47C4CFDE56FA}">
  <ds:schemaRefs>
    <ds:schemaRef ds:uri="http://gemini/pivotcustomization/TableXML_Table5"/>
  </ds:schemaRefs>
</ds:datastoreItem>
</file>

<file path=customXml/itemProps8.xml><?xml version="1.0" encoding="utf-8"?>
<ds:datastoreItem xmlns:ds="http://schemas.openxmlformats.org/officeDocument/2006/customXml" ds:itemID="{22F911DB-B3D9-4B5E-B854-A23032C18529}">
  <ds:schemaRefs>
    <ds:schemaRef ds:uri="http://gemini/pivotcustomization/PowerPivotVersion"/>
  </ds:schemaRefs>
</ds:datastoreItem>
</file>

<file path=customXml/itemProps9.xml><?xml version="1.0" encoding="utf-8"?>
<ds:datastoreItem xmlns:ds="http://schemas.openxmlformats.org/officeDocument/2006/customXml" ds:itemID="{1DBC33C8-7A74-472B-9D2A-C58257FDC99A}">
  <ds:schemaRefs>
    <ds:schemaRef ds:uri="http://gemini/pivotcustomization/IsSandboxEmbedded"/>
  </ds:schemaRefs>
</ds:datastoreItem>
</file>

<file path=customXml/itemProps10.xml><?xml version="1.0" encoding="utf-8"?>
<ds:datastoreItem xmlns:ds="http://schemas.openxmlformats.org/officeDocument/2006/customXml" ds:itemID="{61802CC8-0113-4933-9DA8-23A85563BF96}">
  <ds:schemaRefs>
    <ds:schemaRef ds:uri="http://gemini/pivotcustomization/RelationshipAutoDetectionEnabled"/>
  </ds:schemaRefs>
</ds:datastoreItem>
</file>

<file path=customXml/itemProps11.xml><?xml version="1.0" encoding="utf-8"?>
<ds:datastoreItem xmlns:ds="http://schemas.openxmlformats.org/officeDocument/2006/customXml" ds:itemID="{D83E388F-36F3-42E0-B144-AE59820F6C40}">
  <ds:schemaRefs>
    <ds:schemaRef ds:uri="http://schemas.microsoft.com/DataMashup"/>
  </ds:schemaRefs>
</ds:datastoreItem>
</file>

<file path=customXml/itemProps12.xml><?xml version="1.0" encoding="utf-8"?>
<ds:datastoreItem xmlns:ds="http://schemas.openxmlformats.org/officeDocument/2006/customXml" ds:itemID="{04AD3F41-AF84-4101-B045-C3B736B63748}">
  <ds:schemaRefs>
    <ds:schemaRef ds:uri="http://schemas.microsoft.com/sharepoint/v3/contenttype/forms"/>
  </ds:schemaRefs>
</ds:datastoreItem>
</file>

<file path=customXml/itemProps13.xml><?xml version="1.0" encoding="utf-8"?>
<ds:datastoreItem xmlns:ds="http://schemas.openxmlformats.org/officeDocument/2006/customXml" ds:itemID="{1874C79A-EB26-4A36-B235-90D7CDACEB5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4affff-6a52-4d38-b487-3a27fcd30a1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4.xml><?xml version="1.0" encoding="utf-8"?>
<ds:datastoreItem xmlns:ds="http://schemas.openxmlformats.org/officeDocument/2006/customXml" ds:itemID="{797F1B8A-94CE-4EF9-B4FE-82BCE88EB84D}">
  <ds:schemaRefs>
    <ds:schemaRef ds:uri="http://schemas.microsoft.com/office/infopath/2007/PartnerControls"/>
    <ds:schemaRef ds:uri="http://schemas.openxmlformats.org/package/2006/metadata/core-properties"/>
    <ds:schemaRef ds:uri="c24affff-6a52-4d38-b487-3a27fcd30a1f"/>
    <ds:schemaRef ds:uri="http://purl.org/dc/elements/1.1/"/>
    <ds:schemaRef ds:uri="http://purl.org/dc/terms/"/>
    <ds:schemaRef ds:uri="http://purl.org/dc/dcmitype/"/>
    <ds:schemaRef ds:uri="http://schemas.microsoft.com/office/2006/documentManagement/types"/>
    <ds:schemaRef ds:uri="http://www.w3.org/XML/1998/namespace"/>
    <ds:schemaRef ds:uri="http://schemas.microsoft.com/office/2006/metadata/properties"/>
  </ds:schemaRefs>
</ds:datastoreItem>
</file>

<file path=customXml/itemProps15.xml><?xml version="1.0" encoding="utf-8"?>
<ds:datastoreItem xmlns:ds="http://schemas.openxmlformats.org/officeDocument/2006/customXml" ds:itemID="{1D5B99C4-1FBB-45F5-8A7F-EA4200C0C570}">
  <ds:schemaRefs>
    <ds:schemaRef ds:uri="http://gemini/pivotcustomization/MeasureGridState"/>
  </ds:schemaRefs>
</ds:datastoreItem>
</file>

<file path=customXml/itemProps16.xml><?xml version="1.0" encoding="utf-8"?>
<ds:datastoreItem xmlns:ds="http://schemas.openxmlformats.org/officeDocument/2006/customXml" ds:itemID="{B5FB442A-8001-4E13-BBB1-F4942DFC8B72}">
  <ds:schemaRefs>
    <ds:schemaRef ds:uri="http://gemini/pivotcustomization/ShowHidden"/>
  </ds:schemaRefs>
</ds:datastoreItem>
</file>

<file path=customXml/itemProps17.xml><?xml version="1.0" encoding="utf-8"?>
<ds:datastoreItem xmlns:ds="http://schemas.openxmlformats.org/officeDocument/2006/customXml" ds:itemID="{2D6D70F7-B2F5-4A11-A2DC-04D997476840}">
  <ds:schemaRefs>
    <ds:schemaRef ds:uri="http://gemini/pivotcustomization/ErrorCache"/>
  </ds:schemaRefs>
</ds:datastoreItem>
</file>

<file path=customXml/itemProps18.xml><?xml version="1.0" encoding="utf-8"?>
<ds:datastoreItem xmlns:ds="http://schemas.openxmlformats.org/officeDocument/2006/customXml" ds:itemID="{3797F792-96A2-4A5C-8A44-873C737AF8E1}">
  <ds:schemaRefs>
    <ds:schemaRef ds:uri="http://gemini/pivotcustomization/SandboxNonEmpty"/>
  </ds:schemaRefs>
</ds:datastoreItem>
</file>

<file path=customXml/itemProps19.xml><?xml version="1.0" encoding="utf-8"?>
<ds:datastoreItem xmlns:ds="http://schemas.openxmlformats.org/officeDocument/2006/customXml" ds:itemID="{251A2D9F-FEFF-4404-BDF3-082FCB3EB2C6}">
  <ds:schemaRefs>
    <ds:schemaRef ds:uri="http://gemini/pivotcustomization/ClientWindowXML"/>
  </ds:schemaRefs>
</ds:datastoreItem>
</file>

<file path=customXml/itemProps20.xml><?xml version="1.0" encoding="utf-8"?>
<ds:datastoreItem xmlns:ds="http://schemas.openxmlformats.org/officeDocument/2006/customXml" ds:itemID="{11CB05C9-F880-4B1A-AFBE-6AFD475641FD}">
  <ds:schemaRefs>
    <ds:schemaRef ds:uri="http://gemini/pivotcustomization/ManualCalcMod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vt:i4>
      </vt:variant>
    </vt:vector>
  </HeadingPairs>
  <TitlesOfParts>
    <vt:vector size="17" baseType="lpstr">
      <vt:lpstr>Introduction</vt:lpstr>
      <vt:lpstr>Abbreviations</vt:lpstr>
      <vt:lpstr>College Statistics</vt:lpstr>
      <vt:lpstr>Healthcare</vt:lpstr>
      <vt:lpstr>Crime Index</vt:lpstr>
      <vt:lpstr>Weather Report</vt:lpstr>
      <vt:lpstr>Unemployment Rates</vt:lpstr>
      <vt:lpstr>Master Data</vt:lpstr>
      <vt:lpstr>Pivot Tables</vt:lpstr>
      <vt:lpstr>Dashboard</vt:lpstr>
      <vt:lpstr>Finder</vt:lpstr>
      <vt:lpstr>Sources</vt:lpstr>
      <vt:lpstr>Helper</vt:lpstr>
      <vt:lpstr>Helper_1</vt:lpstr>
      <vt:lpstr>Academics</vt:lpstr>
      <vt:lpstr>Category</vt:lpstr>
      <vt:lpstr>Family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Harsh Kamlesh Panchal</dc:creator>
  <cp:keywords/>
  <dc:description/>
  <cp:lastModifiedBy>Harsh Kamlesh Panchal</cp:lastModifiedBy>
  <cp:revision/>
  <dcterms:created xsi:type="dcterms:W3CDTF">2024-12-03T18:25:26Z</dcterms:created>
  <dcterms:modified xsi:type="dcterms:W3CDTF">2024-12-10T18:34:26Z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0x010100E5C3FB176D23174F8AC6C72AA82C75AA</vt:lpwstr>
  </property>
</Properties>
</file>